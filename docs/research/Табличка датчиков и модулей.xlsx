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поненты" sheetId="1" r:id="rId5"/>
    <sheet state="visible" name="Энергос" sheetId="2" r:id="rId6"/>
    <sheet state="visible" name="Энергос v2.0" sheetId="3" r:id="rId7"/>
    <sheet state="visible" name="Платы с STM че-е-ек" sheetId="4" r:id="rId8"/>
  </sheets>
  <definedNames/>
  <calcPr/>
</workbook>
</file>

<file path=xl/sharedStrings.xml><?xml version="1.0" encoding="utf-8"?>
<sst xmlns="http://schemas.openxmlformats.org/spreadsheetml/2006/main" count="367" uniqueCount="320">
  <si>
    <t>Резисторы:</t>
  </si>
  <si>
    <t>(я не мастер электронщик, опыта нет, как смогу)
Какие:</t>
  </si>
  <si>
    <t>Сколько (больше — лучше)</t>
  </si>
  <si>
    <t>100 Ом
220 Ом
1 кОм
4,7кОм</t>
  </si>
  <si>
    <t>10 кОм
100 кОм</t>
  </si>
  <si>
    <r>
      <rPr>
        <rFont val="Arial"/>
        <color theme="1"/>
        <sz val="12.0"/>
      </rPr>
      <t>Думаю, резисторы — россыпь
Штук по 10-20 низкоОмных (</t>
    </r>
    <r>
      <rPr>
        <rFont val="Arial"/>
        <b/>
        <color rgb="FF38761D"/>
        <sz val="12.0"/>
      </rPr>
      <t>4,7 кОм</t>
    </r>
    <r>
      <rPr>
        <rFont val="Arial"/>
        <color rgb="FF38761D"/>
        <sz val="12.0"/>
      </rPr>
      <t xml:space="preserve"> и ниже</t>
    </r>
    <r>
      <rPr>
        <rFont val="Arial"/>
        <color theme="1"/>
        <sz val="12.0"/>
      </rPr>
      <t>)
От 5 штук (</t>
    </r>
    <r>
      <rPr>
        <rFont val="Arial"/>
        <b/>
        <color rgb="FFCC0000"/>
        <sz val="12.0"/>
      </rPr>
      <t>&gt;= 10кОм</t>
    </r>
    <r>
      <rPr>
        <rFont val="Arial"/>
        <color theme="1"/>
        <sz val="12.0"/>
      </rPr>
      <t>)</t>
    </r>
  </si>
  <si>
    <t>Что измеряем</t>
  </si>
  <si>
    <t>Type</t>
  </si>
  <si>
    <t>Name</t>
  </si>
  <si>
    <t>Описание</t>
  </si>
  <si>
    <t>Вход. напряжение</t>
  </si>
  <si>
    <t>Выходное напр.</t>
  </si>
  <si>
    <t>Сила тока Актив</t>
  </si>
  <si>
    <t>Сила тока сна</t>
  </si>
  <si>
    <t>Точность</t>
  </si>
  <si>
    <t>Стоимость</t>
  </si>
  <si>
    <t>Ссылка (обычно Ozon)</t>
  </si>
  <si>
    <t>Влажность</t>
  </si>
  <si>
    <t>Резистивные</t>
  </si>
  <si>
    <t>YL-69 (он же FC-28)</t>
  </si>
  <si>
    <r>
      <rPr>
        <rFont val="Arial"/>
        <color theme="1"/>
        <sz val="11.0"/>
      </rPr>
      <t xml:space="preserve">самый дешёвый
каррозия активная
</t>
    </r>
    <r>
      <rPr>
        <rFont val="Arial"/>
        <b/>
        <color theme="1"/>
        <sz val="11.0"/>
      </rPr>
      <t xml:space="preserve">Для тестов </t>
    </r>
    <r>
      <rPr>
        <rFont val="Arial"/>
        <color theme="1"/>
        <sz val="11.0"/>
      </rPr>
      <t>подойдёт</t>
    </r>
  </si>
  <si>
    <t>3.3-5V (возможно 5,5V, но дешёвым китайским веры нет)</t>
  </si>
  <si>
    <t>0-4.2V (при входе 5V)</t>
  </si>
  <si>
    <t>25 - 35 мА</t>
  </si>
  <si>
    <t>❌ Вечный актив</t>
  </si>
  <si>
    <t>125-200р / шт</t>
  </si>
  <si>
    <t>https://www.ozon.ru/product/datchik-vlazhnosti-pochvy-yl-69-fc-28-datchik-poliva-modul-dlya-arduino-933683586/?at=x6tPkVoWnHxOQNmnCgPkwWoHv717gNcpKpg5xsKv9ApE</t>
  </si>
  <si>
    <t>Емкостной</t>
  </si>
  <si>
    <t>SEN0193 (Capacity v1.0)</t>
  </si>
  <si>
    <t>Не "дешёвка", качественнее
Думаю, можем сказать на презентации: "есть вот такой конкретный вариант он сильно точнее, долговечнее и электроэкономнее! Но дороже.."</t>
  </si>
  <si>
    <t>3.3-5.5V</t>
  </si>
  <si>
    <t>0-3V</t>
  </si>
  <si>
    <t>10 мА</t>
  </si>
  <si>
    <t>Верю в 1000+р / шт</t>
  </si>
  <si>
    <r>
      <rPr>
        <sz val="11.0"/>
      </rPr>
      <t xml:space="preserve">(1000+р / шт) </t>
    </r>
    <r>
      <rPr>
        <color rgb="FF1155CC"/>
        <sz val="11.0"/>
        <u/>
      </rPr>
      <t>https://www.chipdip.ru/product/sen0193-multiple-function-sensor-development-tools-dfrobot-8005437143</t>
    </r>
    <r>
      <rPr>
        <sz val="11.0"/>
      </rPr>
      <t xml:space="preserve">
(550р / шт) </t>
    </r>
    <r>
      <rPr>
        <color rgb="FF1155CC"/>
        <sz val="11.0"/>
        <u/>
      </rPr>
      <t>https://pacpac.ru/product/sen0193-moisture-sensor/</t>
    </r>
  </si>
  <si>
    <t>HW-390 (всякие китайские SEN v1.2/v2.0)</t>
  </si>
  <si>
    <t>Дешёвый вариант SEN0193
Думаю, можно в конечное устройство</t>
  </si>
  <si>
    <t>300р / шт</t>
  </si>
  <si>
    <t>https://www.ozon.ru/product/emkostnoy-datchik-vlazhnosti-pochvy-hw-390-v1-2-1046320506/?at=XQtk2RoLVFROk7NmCOWAG8xHWXq0xVh52YNXVTDZj41R
https://www.chipdip.ru/product/hw-390-v2.0-emkostnyy-datchik-vlazhnosti-pochvy-ruichi-8040748838?from=rec_mnf</t>
  </si>
  <si>
    <t>е</t>
  </si>
  <si>
    <t>Температура</t>
  </si>
  <si>
    <t>Цифровой 1-wire</t>
  </si>
  <si>
    <t>DS18B20</t>
  </si>
  <si>
    <t>Наверное, лучший вариант
Недорогой и энергоэффективный
Разрешение: 9/10/11/12 бит
Время получения данных:
750 мс при 12-битном разрешении
94 мс при 9-битном разрешении</t>
  </si>
  <si>
    <t>3.0В - 5.5В</t>
  </si>
  <si>
    <t>❌ (Цифровой)</t>
  </si>
  <si>
    <t>1-1.5 мА</t>
  </si>
  <si>
    <t>750 нА (0,75 мкА 0,00075мА)</t>
  </si>
  <si>
    <t>±0.5°C (-10°C +85°C)</t>
  </si>
  <si>
    <t>https://amperka.ru/product/sealed-temperature-sensor-ds18b20</t>
  </si>
  <si>
    <t>https://www.ozon.ru/product/1sht-vodonepronitsaemyy-kabel-datchika-temperatury-ds18b20-dlinoy-1-metr-sovershenno-novyy-original-2469183621/?at=Z8tXl62ggclZAX8mfzYnYV1cpgEqRBtOAmQXVS6ER2ln</t>
  </si>
  <si>
    <t>Цифровой I2C</t>
  </si>
  <si>
    <t>LM75 / STLM75</t>
  </si>
  <si>
    <t>2.7-5.5 V</t>
  </si>
  <si>
    <t>0,125 мА</t>
  </si>
  <si>
    <t>±0.5°C (обычно)
±2°C (max)</t>
  </si>
  <si>
    <t>https://www.chipdip.ru/product/stlm75m2f-st-microelectronics-8002007452</t>
  </si>
  <si>
    <t>Аналоговый
Вручную</t>
  </si>
  <si>
    <t>NTC Термистор (T↑ ==&gt; R↓)
PTC Термистор (T↑ ==&gt; R↑)</t>
  </si>
  <si>
    <t>Голый термистор, настройка в ручную, возможно даже индивидуальная для каждого устройства будет
В среднем рублей по 15-25 в специализированных магазинах вроде chipdip</t>
  </si>
  <si>
    <t>Вручную</t>
  </si>
  <si>
    <t>Зависит от термистора</t>
  </si>
  <si>
    <t>https://www.chipdip.ru/catalog/ntc-thermistors
https://www.chipdip.ru/catalog/ptc-thermistors</t>
  </si>
  <si>
    <t>Аналоговый</t>
  </si>
  <si>
    <t>LM335Z</t>
  </si>
  <si>
    <t>???</t>
  </si>
  <si>
    <t>0.45 мА- 5мА</t>
  </si>
  <si>
    <r>
      <rPr>
        <color rgb="FF1155CC"/>
        <sz val="11.0"/>
        <u/>
      </rPr>
      <t xml:space="preserve">https://www.chipdip.ru/product/lm335z-datchik-temperatury-analogovyy-st-microelectronics-9000113441
</t>
    </r>
    <r>
      <rPr>
        <sz val="11.0"/>
      </rPr>
      <t xml:space="preserve">(Дешевле чем на Ozon)
</t>
    </r>
    <r>
      <rPr>
        <color rgb="FF1155CC"/>
        <sz val="11.0"/>
        <u/>
      </rPr>
      <t>https://www.ozon.ru/category/mikroshema-lm335z/</t>
    </r>
  </si>
  <si>
    <t>GPS (UART)</t>
  </si>
  <si>
    <t>GPS-only</t>
  </si>
  <si>
    <t>u-blox NEO-6M</t>
  </si>
  <si>
    <t>Дешёвый, самый распространнёный</t>
  </si>
  <si>
    <t xml:space="preserve">2,7-3,6В 6M (обычн 3В)
1,75-1,95 6G (обычн 1,8В)
</t>
  </si>
  <si>
    <t>❌ UART</t>
  </si>
  <si>
    <t>~45mA</t>
  </si>
  <si>
    <t>~11мА</t>
  </si>
  <si>
    <t>2.5м</t>
  </si>
  <si>
    <t>Можно найти до 700 рублей (пример справа)</t>
  </si>
  <si>
    <t>https://www.ozon.ru/product/gps-modul-gy-neo-6m-sma-micro-usb-617563602/?at=NOtwy0DOKcVMLMMmi7ZppMZfGlxNPLuXQl2KgIz59x1q</t>
  </si>
  <si>
    <t>GPS+GLONASS</t>
  </si>
  <si>
    <t>u-blox NEO-7 series</t>
  </si>
  <si>
    <t>Точнее в городах, редок в продаже</t>
  </si>
  <si>
    <t>1,65-3,6В M версия (2,7-3,6В на N версии)</t>
  </si>
  <si>
    <t>~40mA</t>
  </si>
  <si>
    <t>~10мА</t>
  </si>
  <si>
    <t>https://www.ozon.ru/product/gps-priemnik-gy-neo7m-s-aktivnoy-antennoy-ublox-neo-7m-2905638756/?at=J8tgMq36GI5KzY29h6kklD6hMJKKz8HWP2LWmsYYD1wV</t>
  </si>
  <si>
    <t>GPS/GLONASS/BeiDou</t>
  </si>
  <si>
    <t>u-blox NEO-8 series(UART + I2C)</t>
  </si>
  <si>
    <t>Дорогой, более точный</t>
  </si>
  <si>
    <t>1,65-3,6В (2,7-3,6В)</t>
  </si>
  <si>
    <t>~30mA</t>
  </si>
  <si>
    <t>~0.7 mA</t>
  </si>
  <si>
    <t>Питание</t>
  </si>
  <si>
    <t>18650 Li-ion</t>
  </si>
  <si>
    <t>3.7V</t>
  </si>
  <si>
    <t>2000–3500mAh</t>
  </si>
  <si>
    <t>Самый дешёвый и распространнёный</t>
  </si>
  <si>
    <t>Высокая емкость, дешево</t>
  </si>
  <si>
    <t>Нужна защита</t>
  </si>
  <si>
    <t>LiPo (Lithium Polymer)</t>
  </si>
  <si>
    <t>500–5000mAh</t>
  </si>
  <si>
    <t>Компактные лёгкие, но дорогие</t>
  </si>
  <si>
    <t>Компактные, легкие</t>
  </si>
  <si>
    <t>Чувствительны к перезаряду</t>
  </si>
  <si>
    <t>NiMH AA/AAA</t>
  </si>
  <si>
    <t>Обычно 1.2V
(1,2*3 использовать и неплохо будет)</t>
  </si>
  <si>
    <t>2000–2500mAh</t>
  </si>
  <si>
    <t>Надёжные (заменяеют батарейки в быту), но дороже аккумулятора</t>
  </si>
  <si>
    <t>Безопасные, дешево</t>
  </si>
  <si>
    <t>Низкая плотность энергии</t>
  </si>
  <si>
    <t>LiFePO4 18650</t>
  </si>
  <si>
    <t>3.2V</t>
  </si>
  <si>
    <t>1500–3000mAh</t>
  </si>
  <si>
    <t>Дороже 18650, но надёжнее и долговечнее
Можно было бы в конечный продукт</t>
  </si>
  <si>
    <t>Долговечные (2000 циклов), безопасные</t>
  </si>
  <si>
    <t>Ниже напряжение</t>
  </si>
  <si>
    <t>Корпус для 18650</t>
  </si>
  <si>
    <r>
      <rPr>
        <color rgb="FF1155CC"/>
        <u/>
      </rPr>
      <t>Корпус для 18650 - купить на OZON</t>
    </r>
  </si>
  <si>
    <t>https://www.ozon.ru/product/ponizhayushchiy-dc-dc-preobrazovatel-mp1584en-2-shtuki-2731836091/?at=Z8tXB5rkZtJ35XO7ik53n27ivrmR2ViwzQzGVSy5z7wj</t>
  </si>
  <si>
    <t>Понижайющие преобразователь</t>
  </si>
  <si>
    <t>У этих рабочий ток выше, лучше их</t>
  </si>
  <si>
    <t>MP1584</t>
  </si>
  <si>
    <t>https://www.ozon.ru/product/ponizhayushchiy-dc-dc-preobrazovatel-mp1584en-gw1584-reguliruemyy-1709603449/?at=RltyZvjM9syDR5YgUE9kMVESp4z0Y9TEWZmVxFKNMGLA</t>
  </si>
  <si>
    <t>Сильно дешевле, но на фоне других датчиков, думаю стоит переплатить за хорошее питание</t>
  </si>
  <si>
    <t>Mini360</t>
  </si>
  <si>
    <t>https://www.ozon.ru/product/ponizhayushchiy-dc-dc-preobrazovatel-napryazheniya-mini360-modul-konverter-dlya-arduino-arduino-623137181/?at=46tRkBMDNu2pVAJrC12PQmzCq8ELlmhzEW2MOhYGlyBN</t>
  </si>
  <si>
    <t>https://www.ozon.ru/product/ponizhayushchiy-dc-dc-preobrazovatel-napryazheniya-mini360-modul-konverter-dlya-arduino-arduino-2432567961/?at=DqtDG5NE2FRjr0G5IwBonGjTwk6NXnT88REnKsqKY7qw</t>
  </si>
  <si>
    <t>Контроль напряжения</t>
  </si>
  <si>
    <t>2S BMS</t>
  </si>
  <si>
    <t>https://www.ozon.ru/product/zashchitnaya-plata-zaryadnogo-ustroystva-bms-2s-20a-s-balansirovkoy-kontroller-zaryada-li-ion-1329646339/?at=WPtNo5RM7U6wrKA5iKVXkAqUxBNjX1uLv3EZDFNGkWO2</t>
  </si>
  <si>
    <t>Либо</t>
  </si>
  <si>
    <t>Плата заряда + повышайка до 5вольт</t>
  </si>
  <si>
    <t>Рублей 150 с доставкой</t>
  </si>
  <si>
    <t>https://aliexpress.ru/item/32923419688.html?aff_fcid=5a1d2fd657ff49c38ff6122273301f4f-1630236739324-02607-mr6wR6CC&amp;aff_fsk=mr6wR6CC&amp;aff_platform=link-c-tool&amp;item_id=32923419688&amp;sku_id=66065817712&amp;utm_campaign=44981&amp;utm_content=1068989&amp;utm_medium=cpa&amp;utm_source=admitad</t>
  </si>
  <si>
    <t>Рублей 400 с доставкой</t>
  </si>
  <si>
    <t>https://aliexpress.ru/item/32793055741.html?aff_fcid=13e1cfec4bd24bdbb525b0a3a5e50c50-1630236748433-04702-mr6wR6CC&amp;aff_fsk=mr6wR6CC&amp;aff_platform=link-c-tool&amp;pvid=de095008-2ac2-4d44-bdac-4dfe6f3b4a21&amp;rmsg=replace_same_item&amp;scm=1007.23534.124737.0&amp;utm_campaign=44981&amp;utm_content=1068989&amp;utm_medium=cpa&amp;utm_source=admitad&amp;sku_id=63741510157</t>
  </si>
  <si>
    <t>Устройства</t>
  </si>
  <si>
    <t>Емкость мАч</t>
  </si>
  <si>
    <t>Энергия Вт·ч</t>
  </si>
  <si>
    <t>Худший (Вт) (всё включено на максимум, LoRa в постоянной передаче)</t>
  </si>
  <si>
    <t>Лучший (Вт) (всё в минимальном сне, INA выключены, LoRa sleep)</t>
  </si>
  <si>
    <t>Средний Вт</t>
  </si>
  <si>
    <t>Время работы</t>
  </si>
  <si>
    <t>18650 Li-ion 2S (Аккамуляторы)</t>
  </si>
  <si>
    <t>1,85 часа (110 минут) [Худший]</t>
  </si>
  <si>
    <t>HW-390 (влажность)</t>
  </si>
  <si>
    <t>930 часов (~39 дней) [Лучший]</t>
  </si>
  <si>
    <t>DS18B20 (температура)</t>
  </si>
  <si>
    <t>540 часов (~22,5 дня) [Среднее]</t>
  </si>
  <si>
    <t>u-blox NEO-7M series (GPS)</t>
  </si>
  <si>
    <t>LoRa E22 400T30D (Радио)</t>
  </si>
  <si>
    <t>ESP32 C3 Super mini (MCU)</t>
  </si>
  <si>
    <t>0,66 (КПД для 3.3V)</t>
  </si>
  <si>
    <t>2S BMS 20A (балансировщик)</t>
  </si>
  <si>
    <t>XL4015E1 (преобразователь напряжения)</t>
  </si>
  <si>
    <t>0,92 (КПД для 5V)</t>
  </si>
  <si>
    <t>INA3221 (уровень заряда)</t>
  </si>
  <si>
    <t>INA219</t>
  </si>
  <si>
    <t>Таким образом, в любой из перечисленных режимов INA219 потребляет примерно 0,7 мА в типовом случае (≈ 2 мВт при 3 V питания) и не более 1 мА (≈ 3 мВт) в худшем‑case</t>
  </si>
  <si>
    <t>Можно добавить другие датчики</t>
  </si>
  <si>
    <t>2 А·ч × 7.4 В = 14.8 Вт·ч</t>
  </si>
  <si>
    <t>P = I * V</t>
  </si>
  <si>
    <t>Режим</t>
  </si>
  <si>
    <t>Ток (типичный/максимальный)</t>
  </si>
  <si>
    <t>Условия</t>
  </si>
  <si>
    <t>Примечания</t>
  </si>
  <si>
    <t>Ожидание (Standby)</t>
  </si>
  <si>
    <t>750 нА / 1000 нА</t>
  </si>
  <si>
    <t>До +70°C; до 3 мкА при +125°C</t>
  </si>
  <si>
    <t>Ультранизкое, идеально для длительного мониторинга.</t>
  </si>
  <si>
    <t>I_avg_ds = (I_active × t_active + I_standby × (T_cycle - t_active)) / T_cycle = (0,001 × 0,75 + 0,00000075 × 899,25) / 900 ≈ 0,000000834 А (0,834 мкА)</t>
  </si>
  <si>
    <t>Активный (Active, конверсия)</t>
  </si>
  <si>
    <t>1 мА / 1,5 мА</t>
  </si>
  <si>
    <t>При VDD=5 В, во время конверсии или записи EEPROM</t>
  </si>
  <si>
    <t>Длительность: 93,75 мс (9 бит) до 750 мс (12 бит).</t>
  </si>
  <si>
    <t>Паразитное питание (Parasite Power)</t>
  </si>
  <si>
    <t>Аналогично активному, но от шины</t>
  </si>
  <si>
    <t>Без внешнего VDD; требуется сильный pull-up во время конверсии</t>
  </si>
  <si>
    <t>Не рекомендуется выше +100°C из-за утечек.</t>
  </si>
  <si>
    <t>NEO-7M</t>
  </si>
  <si>
    <t>Поиск (Acquisition)</t>
  </si>
  <si>
    <t>22 мА</t>
  </si>
  <si>
    <t>При 3 В, от старта до первого фикса</t>
  </si>
  <si>
    <t>Пиковый: до 67 мА; длится секунды-минуты.</t>
  </si>
  <si>
    <t>E_start = (P_neo_acq × t_start / 3600) / η_total = (3,3 × 0,022 × 32 / 3600) / (0,92 × 0,66) ≈ 0,00065 / 0,607 ≈ 0,001 Вт·ч (незначительно для общей ёмкости)</t>
  </si>
  <si>
    <t>Трекинг (Continuous)</t>
  </si>
  <si>
    <t>17 мА</t>
  </si>
  <si>
    <t>При 3 В, после фикса</t>
  </si>
  <si>
    <t>Полная производительность; для реального времени.</t>
  </si>
  <si>
    <t>Экономичный (Power Save, 1 Гц)</t>
  </si>
  <si>
    <t>5 мА</t>
  </si>
  <si>
    <t>При 3 В, циклический режим</t>
  </si>
  <si>
    <t>Идеально для логгинга; снижает среднее потребление.</t>
  </si>
  <si>
    <t>Резервный (Backup)</t>
  </si>
  <si>
    <t>15 мкА</t>
  </si>
  <si>
    <t>V_BCKP=1,8 В, VCC=0 В</t>
  </si>
  <si>
    <t>Сохраняет RTC и данные для быстрого старта.</t>
  </si>
  <si>
    <t>Программный резерв (SW Backup)</t>
  </si>
  <si>
    <t>20 мкА</t>
  </si>
  <si>
    <t>При VCC=3 В</t>
  </si>
  <si>
    <t>Дополнительно к резервному.</t>
  </si>
  <si>
    <t>LoRa E22-400T30D</t>
  </si>
  <si>
    <t>Sleep (глубокий сон)</t>
  </si>
  <si>
    <t>2 мкА / -</t>
  </si>
  <si>
    <t>M0=1, M1=1, UART закрыт</t>
  </si>
  <si>
    <t>Минимальное потребление, параметры сохраняются после выключения.</t>
  </si>
  <si>
    <t>WOR (прослушивание)</t>
  </si>
  <si>
    <t>10 мА / 15 мА</t>
  </si>
  <si>
    <t>M0=1, M1=0, цикл &gt;4 с</t>
  </si>
  <si>
    <t>Среднее для mesh ~0,5 мА при редких релеях; прослушка для приема.</t>
  </si>
  <si>
    <t>RX (прием)</t>
  </si>
  <si>
    <t>12 мА / 17 мА</t>
  </si>
  <si>
    <t>M0=0, M1=0, нормальный режим</t>
  </si>
  <si>
    <t>Постоянный прием; для mesh - кратковременно.</t>
  </si>
  <si>
    <t>TX (передача)</t>
  </si>
  <si>
    <t>610 мА / -</t>
  </si>
  <si>
    <t>M0=0, M1=0, 30 dBm (1 Вт)</t>
  </si>
  <si>
    <t>Кратковременный спайк ~0,5 с; для mesh - при передаче/релее.</t>
  </si>
  <si>
    <t>Config (конфигурация)</t>
  </si>
  <si>
    <t>M0=0, M1=1</t>
  </si>
  <si>
    <t>Для настройки параметров, не для работы.</t>
  </si>
  <si>
    <t>HW-390</t>
  </si>
  <si>
    <t>Active (активный)</t>
  </si>
  <si>
    <t>5 мА / -</t>
  </si>
  <si>
    <t>Постоянная работа, analogRead</t>
  </si>
  <si>
    <t>Кратковременное чтение ~0,1 с; для цикла 15 мин средний ~0,556 мкА.</t>
  </si>
  <si>
    <t>Sleep (отключён)</t>
  </si>
  <si>
    <t>0 мА / -</t>
  </si>
  <si>
    <t>Отключение через MOSFET</t>
  </si>
  <si>
    <t>Нулевое потребление</t>
  </si>
  <si>
    <t>ESP32-C3 SuperMini</t>
  </si>
  <si>
    <t>Deep sleep (глубокий сон)</t>
  </si>
  <si>
    <t>43 мкА / -</t>
  </si>
  <si>
    <t>RTC on, все выключено</t>
  </si>
  <si>
    <t>Ультранизкое для платы; чип ~5 мкА, но с компонентами выше.</t>
  </si>
  <si>
    <t>Light sleep (лёгкий сон)</t>
  </si>
  <si>
    <t>0,35 мА / 0,8 мА</t>
  </si>
  <si>
    <t>CPU off, периферия частично</t>
  </si>
  <si>
    <t>Для промежуточной экономии; с LED + ~21 мА (если включены).</t>
  </si>
  <si>
    <t>Active (активный, без WiFi)</t>
  </si>
  <si>
    <t>27 мА / 32 мА</t>
  </si>
  <si>
    <t>CPU 160 МГц, базовый цикл</t>
  </si>
  <si>
    <t>Пустой loop; с LED +5 мА.</t>
  </si>
  <si>
    <t>WiFi RX (прием)</t>
  </si>
  <si>
    <t>84 мА / -</t>
  </si>
  <si>
    <t>WiFi active, 100% duty</t>
  </si>
  <si>
    <t>Среднее; BLE ~80 мА</t>
  </si>
  <si>
    <t>WiFi TX (передача)</t>
  </si>
  <si>
    <t>100 мА / 305 мА (пик)</t>
  </si>
  <si>
    <t>WiFi TX, 100% duty</t>
  </si>
  <si>
    <t>Пиковый при передаче; с BLE ~40-45 мА среднее.</t>
  </si>
  <si>
    <t>XL4015</t>
  </si>
  <si>
    <t>Quiescent (холостой ход)</t>
  </si>
  <si>
    <t>2,1 мА / 5 мА</t>
  </si>
  <si>
    <t>VFB=Vin, без нагрузки</t>
  </si>
  <si>
    <t>Потребление без нагрузки; частота 180 КГц.</t>
  </si>
  <si>
    <t>Замеры раз в неделю</t>
  </si>
  <si>
    <t>18650 LiFePo4 2P (Аккамуляторы)</t>
  </si>
  <si>
    <t>12,6 часа (756 минут) [Худший]</t>
  </si>
  <si>
    <t>Просыпание по лоре где-то два раза в час</t>
  </si>
  <si>
    <t>137029 часов (15,85 лет) [Лучший]</t>
  </si>
  <si>
    <t>С замером ины</t>
  </si>
  <si>
    <t>5 948 часов (8,26 месяцев) [Среднее]</t>
  </si>
  <si>
    <t>Ина отключается после понижения заряда</t>
  </si>
  <si>
    <t>STM32L431CCT6 (MCU)</t>
  </si>
  <si>
    <t>Lifepo4 BMS 1S  (балансировщик)</t>
  </si>
  <si>
    <t>"=" * 3.2</t>
  </si>
  <si>
    <t>STM32</t>
  </si>
  <si>
    <t>– 8 nA Shutdown mode (5 wakeup pins)</t>
  </si>
  <si>
    <t>– 28 nA Standby mode (5 wakeup pins)</t>
  </si>
  <si>
    <t>– 280 nA Standby mode with RTC</t>
  </si>
  <si>
    <t>Коротко</t>
  </si>
  <si>
    <t>Плата</t>
  </si>
  <si>
    <t>Цена (на моём аккаунте такие, в инкогнито дороже процентов на 15)</t>
  </si>
  <si>
    <t>❌ Дорого</t>
  </si>
  <si>
    <t>STM32L151C8T6A</t>
  </si>
  <si>
    <t>18-21</t>
  </si>
  <si>
    <t>https://market.yandex.ru/card/materinskaya-plata-stm32l151c8t6a-zhk-displey-stm32l151-minimalnaya-sistemnaya-zhk-plata-dlya-razrabotki-nizkoye-energopotrebleniye-stm32l151c8t6a/4305876007</t>
  </si>
  <si>
    <r>
      <rPr>
        <rFont val="Comfortaa"/>
        <color theme="1"/>
        <sz val="20.0"/>
      </rPr>
      <t xml:space="preserve">❔ so~so
</t>
    </r>
    <r>
      <rPr>
        <rFont val="Comfortaa"/>
        <color theme="1"/>
        <sz val="12.0"/>
      </rPr>
      <t>Но на картинке есть таймер с кварцем, вроде</t>
    </r>
  </si>
  <si>
    <r>
      <rPr>
        <rFont val="Comfortaa"/>
        <color theme="1"/>
      </rPr>
      <t xml:space="preserve">STM32F103C8T6 </t>
    </r>
    <r>
      <rPr>
        <rFont val="Comfortaa"/>
        <b/>
        <color theme="1"/>
      </rPr>
      <t>Blue Pill</t>
    </r>
  </si>
  <si>
    <t>7-8 дек.</t>
  </si>
  <si>
    <t>https://market.yandex.ru/card/stm32f103c8t6-otladochnaya-plata-stm32/101816055502</t>
  </si>
  <si>
    <t xml:space="preserve">✅ Норм
</t>
  </si>
  <si>
    <r>
      <rPr>
        <rFont val="Comfortaa"/>
        <color theme="1"/>
      </rPr>
      <t>STM32F401CCU6</t>
    </r>
    <r>
      <rPr>
        <rFont val="Comfortaa"/>
        <b/>
        <color theme="1"/>
      </rPr>
      <t xml:space="preserve"> Black Pill</t>
    </r>
  </si>
  <si>
    <t>9-10 дек.</t>
  </si>
  <si>
    <t>https://market.yandex.ru/card/otladochnaya-plata-na-baze-mikrokontrollera-stm32f401ccu6/101947359326</t>
  </si>
  <si>
    <t>18-21 дек.</t>
  </si>
  <si>
    <t>https://market.yandex.ru/card/obuchayushchaya-plata-stm32f401-tzt-model-1-stm32f401ccu6/4664380039</t>
  </si>
  <si>
    <t>Чуть подробнее</t>
  </si>
  <si>
    <t>режимы сна</t>
  </si>
  <si>
    <t>Sleep</t>
  </si>
  <si>
    <t>stop</t>
  </si>
  <si>
    <t>standby</t>
  </si>
  <si>
    <t>высокое потребление</t>
  </si>
  <si>
    <t>ниже, всё ещё сохраняет RAM</t>
  </si>
  <si>
    <t>очень экономно
потеря RAM, пробудение по сигналу/таймеру</t>
  </si>
  <si>
    <t>Black Pill</t>
  </si>
  <si>
    <t>Blue Pill</t>
  </si>
  <si>
    <t>Пробуждение по таймеру во всех режимах</t>
  </si>
  <si>
    <t>Пробуждение по таймеру только в режиме сна</t>
  </si>
  <si>
    <t>хорошие режимы:
сна, глубоко сна, отключения с пробуждением</t>
  </si>
  <si>
    <t>настоящего глубокого сна нет, только глубокий
sleep, псевдо-stop и standby</t>
  </si>
  <si>
    <t>Погрешность таймера</t>
  </si>
  <si>
    <t>0,5-2 секунды/сутки</t>
  </si>
  <si>
    <t>2-5 секунд/сутки</t>
  </si>
  <si>
    <t>Больше RAM</t>
  </si>
  <si>
    <t>Есть BackupSRAM
(вместо постоянной записи во Flash туда сохранять)</t>
  </si>
  <si>
    <t>Шире интревал проюуждения по таймеру: можно устанавливать конкретную дату
(небольшой костыль, ибо не через X дней проснуться, но всё же лучше чем только 24 часа ограничение)</t>
  </si>
  <si>
    <t>страницы Flash-памяти</t>
  </si>
  <si>
    <t>страницы по 16kB</t>
  </si>
  <si>
    <t>страницы FLASH по 1kB</t>
  </si>
  <si>
    <t>(не критично, ведь есть BackupSRAM на Black Pill)</t>
  </si>
  <si>
    <t xml:space="preserve">MicroPython </t>
  </si>
  <si>
    <t>официальные сборки даже</t>
  </si>
  <si>
    <t>от сообщества</t>
  </si>
  <si>
    <t>Итого</t>
  </si>
  <si>
    <t>эта</t>
  </si>
  <si>
    <t>НО</t>
  </si>
  <si>
    <t>Не нашёл модуль таймера с кварцем на картинке</t>
  </si>
  <si>
    <t>Заказать обе платы, на всякий случай.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</si>
</sst>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р.-419]#,##0.00"/>
    <numFmt numFmtId="165" formatCode="#,##0[$р.]"/>
  </numFmts>
  <fonts count="35">
    <font>
      <sz val="10.0"/>
      <color rgb="FF000000"/>
      <name val="Arial"/>
      <scheme val="minor"/>
    </font>
    <font>
      <sz val="11.0"/>
      <color theme="1"/>
      <name val="Arial"/>
      <scheme val="minor"/>
    </font>
    <font>
      <b/>
      <sz val="11.0"/>
      <color rgb="FF38761D"/>
      <name val="Arial"/>
      <scheme val="minor"/>
    </font>
    <font>
      <b/>
      <sz val="11.0"/>
      <color rgb="FFCC0000"/>
      <name val="Arial"/>
      <scheme val="minor"/>
    </font>
    <font>
      <sz val="12.0"/>
      <color theme="1"/>
      <name val="Arial"/>
      <scheme val="minor"/>
    </font>
    <font>
      <b/>
      <sz val="14.0"/>
      <color theme="1"/>
      <name val="Arial"/>
      <scheme val="minor"/>
    </font>
    <font>
      <sz val="11.0"/>
      <color rgb="FF0F1115"/>
      <name val="Arial"/>
      <scheme val="minor"/>
    </font>
    <font>
      <u/>
      <sz val="11.0"/>
      <color rgb="FF0000FF"/>
    </font>
    <font>
      <u/>
      <sz val="11.0"/>
      <color rgb="FF0000FF"/>
    </font>
    <font>
      <b/>
      <sz val="23.0"/>
      <color theme="1"/>
      <name val="Arial"/>
      <scheme val="minor"/>
    </font>
    <font>
      <u/>
      <sz val="11.0"/>
      <color rgb="FF1155CC"/>
    </font>
    <font>
      <sz val="11.0"/>
      <color rgb="FF0F1115"/>
      <name val="Arial"/>
    </font>
    <font>
      <b/>
      <sz val="29.0"/>
      <color rgb="FF0F1115"/>
      <name val="Arial"/>
    </font>
    <font>
      <sz val="11.0"/>
      <color rgb="FF0F1115"/>
      <name val="Quote-cjk-patch"/>
    </font>
    <font>
      <sz val="11.0"/>
      <color rgb="FF001D35"/>
      <name val="&quot;Google Sans&quot;"/>
    </font>
    <font>
      <sz val="11.0"/>
      <color theme="1"/>
      <name val="Arial"/>
    </font>
    <font>
      <b/>
      <sz val="18.0"/>
      <color theme="1"/>
      <name val="Arial"/>
    </font>
    <font>
      <b/>
      <sz val="24.0"/>
      <color theme="1"/>
      <name val="Arial"/>
    </font>
    <font>
      <color theme="1"/>
      <name val="Arial"/>
      <scheme val="minor"/>
    </font>
    <font>
      <u/>
      <color rgb="FF0000FF"/>
    </font>
    <font>
      <b/>
      <sz val="20.0"/>
      <color rgb="FF3A3A3A"/>
      <name val="-apple-system"/>
    </font>
    <font>
      <sz val="11.0"/>
      <color rgb="FF3A3A3A"/>
      <name val="-apple-system"/>
    </font>
    <font>
      <u/>
      <sz val="11.0"/>
      <color rgb="FF0000FF"/>
    </font>
    <font>
      <b/>
      <sz val="21.0"/>
      <color theme="1"/>
      <name val="Arial"/>
      <scheme val="minor"/>
    </font>
    <font>
      <sz val="12.0"/>
      <color rgb="FF000000"/>
      <name val="Arial"/>
    </font>
    <font>
      <b/>
      <sz val="20.0"/>
      <color theme="1"/>
      <name val="Comfortaa"/>
    </font>
    <font>
      <color theme="1"/>
      <name val="Comfortaa"/>
    </font>
    <font>
      <sz val="12.0"/>
      <color theme="1"/>
      <name val="Comfortaa"/>
    </font>
    <font>
      <sz val="15.0"/>
      <color theme="1"/>
      <name val="Comfortaa"/>
    </font>
    <font>
      <u/>
      <color rgb="FF1155CC"/>
      <name val="Comfortaa"/>
    </font>
    <font>
      <sz val="20.0"/>
      <color theme="1"/>
      <name val="Comfortaa"/>
    </font>
    <font/>
    <font>
      <b/>
      <sz val="15.0"/>
      <color theme="1"/>
      <name val="Comfortaa"/>
    </font>
    <font>
      <b/>
      <color theme="1"/>
      <name val="Comfortaa"/>
    </font>
    <font>
      <b/>
      <i/>
      <sz val="13.0"/>
      <color theme="1"/>
      <name val="Comfortaa"/>
    </font>
  </fonts>
  <fills count="12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4E3FF"/>
        <bgColor rgb="FFC4E3FF"/>
      </patternFill>
    </fill>
    <fill>
      <patternFill patternType="solid">
        <fgColor rgb="FF000000"/>
        <bgColor rgb="FF000000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C1EEC1"/>
        <bgColor rgb="FFC1EEC1"/>
      </patternFill>
    </fill>
    <fill>
      <patternFill patternType="solid">
        <fgColor rgb="FFFF9898"/>
        <bgColor rgb="FFFF9898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ck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vertical="top"/>
    </xf>
    <xf borderId="0" fillId="0" fontId="3" numFmtId="0" xfId="0" applyAlignment="1" applyFont="1">
      <alignment readingOrder="0" vertical="top"/>
    </xf>
    <xf borderId="0" fillId="0" fontId="4" numFmtId="0" xfId="0" applyAlignment="1" applyFont="1">
      <alignment readingOrder="0" shrinkToFit="0" wrapText="1"/>
    </xf>
    <xf borderId="0" fillId="0" fontId="1" numFmtId="0" xfId="0" applyAlignment="1" applyFont="1">
      <alignment shrinkToFit="0" wrapText="0"/>
    </xf>
    <xf borderId="0" fillId="0" fontId="5" numFmtId="0" xfId="0" applyAlignment="1" applyFont="1">
      <alignment readingOrder="0" shrinkToFit="0" wrapText="1"/>
    </xf>
    <xf borderId="0" fillId="2" fontId="1" numFmtId="0" xfId="0" applyAlignment="1" applyFill="1" applyFont="1">
      <alignment readingOrder="0" shrinkToFit="0" wrapText="1"/>
    </xf>
    <xf borderId="0" fillId="3" fontId="6" numFmtId="0" xfId="0" applyAlignment="1" applyFill="1" applyFont="1">
      <alignment readingOrder="0" shrinkToFit="0" wrapText="1"/>
    </xf>
    <xf borderId="0" fillId="0" fontId="7" numFmtId="0" xfId="0" applyAlignment="1" applyFont="1">
      <alignment readingOrder="0" shrinkToFit="0" wrapText="0"/>
    </xf>
    <xf borderId="0" fillId="4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0"/>
    </xf>
    <xf borderId="0" fillId="5" fontId="9" numFmtId="0" xfId="0" applyAlignment="1" applyFill="1" applyFont="1">
      <alignment readingOrder="0" shrinkToFit="0" wrapText="1"/>
    </xf>
    <xf borderId="0" fillId="0" fontId="10" numFmtId="0" xfId="0" applyAlignment="1" applyFont="1">
      <alignment readingOrder="0" shrinkToFit="0" wrapText="0"/>
    </xf>
    <xf borderId="0" fillId="6" fontId="1" numFmtId="0" xfId="0" applyAlignment="1" applyFill="1" applyFont="1">
      <alignment shrinkToFit="0" wrapText="1"/>
    </xf>
    <xf borderId="0" fillId="6" fontId="1" numFmtId="0" xfId="0" applyAlignment="1" applyFont="1">
      <alignment shrinkToFit="0" wrapText="0"/>
    </xf>
    <xf borderId="0" fillId="3" fontId="11" numFmtId="0" xfId="0" applyAlignment="1" applyFont="1">
      <alignment readingOrder="0" shrinkToFit="0" wrapText="1"/>
    </xf>
    <xf borderId="0" fillId="7" fontId="12" numFmtId="0" xfId="0" applyAlignment="1" applyFill="1" applyFont="1">
      <alignment readingOrder="0" shrinkToFit="0" wrapText="1"/>
    </xf>
    <xf borderId="0" fillId="3" fontId="13" numFmtId="0" xfId="0" applyAlignment="1" applyFont="1">
      <alignment readingOrder="0" shrinkToFit="0" wrapText="1"/>
    </xf>
    <xf borderId="0" fillId="3" fontId="14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0"/>
    </xf>
    <xf borderId="0" fillId="0" fontId="15" numFmtId="0" xfId="0" applyAlignment="1" applyFont="1">
      <alignment shrinkToFit="0" vertical="bottom" wrapText="1"/>
    </xf>
    <xf borderId="0" fillId="8" fontId="16" numFmtId="0" xfId="0" applyAlignment="1" applyFill="1" applyFont="1">
      <alignment shrinkToFit="0" vertical="bottom" wrapText="1"/>
    </xf>
    <xf borderId="0" fillId="0" fontId="15" numFmtId="0" xfId="0" applyAlignment="1" applyFont="1">
      <alignment readingOrder="0" shrinkToFit="0" vertical="bottom" wrapText="1"/>
    </xf>
    <xf borderId="0" fillId="8" fontId="16" numFmtId="0" xfId="0" applyAlignment="1" applyFont="1">
      <alignment readingOrder="0" shrinkToFit="0" vertical="bottom" wrapText="1"/>
    </xf>
    <xf borderId="0" fillId="8" fontId="17" numFmtId="0" xfId="0" applyAlignment="1" applyFont="1">
      <alignment readingOrder="0" shrinkToFit="0" vertical="bottom" wrapText="1"/>
    </xf>
    <xf borderId="0" fillId="0" fontId="18" numFmtId="0" xfId="0" applyAlignment="1" applyFont="1">
      <alignment shrinkToFit="0" wrapText="0"/>
    </xf>
    <xf borderId="0" fillId="0" fontId="18" numFmtId="0" xfId="0" applyAlignment="1" applyFont="1">
      <alignment readingOrder="0"/>
    </xf>
    <xf borderId="0" fillId="0" fontId="19" numFmtId="0" xfId="0" applyAlignment="1" applyFont="1">
      <alignment readingOrder="0"/>
    </xf>
    <xf borderId="0" fillId="8" fontId="20" numFmtId="0" xfId="0" applyAlignment="1" applyFont="1">
      <alignment horizontal="center" readingOrder="0"/>
    </xf>
    <xf borderId="0" fillId="3" fontId="21" numFmtId="0" xfId="0" applyAlignment="1" applyFont="1">
      <alignment horizontal="center" readingOrder="0"/>
    </xf>
    <xf borderId="0" fillId="0" fontId="22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8" fontId="1" numFmtId="0" xfId="0" applyAlignment="1" applyFont="1">
      <alignment horizontal="center" readingOrder="0"/>
    </xf>
    <xf borderId="0" fillId="0" fontId="23" numFmtId="0" xfId="0" applyAlignment="1" applyFont="1">
      <alignment shrinkToFit="0" wrapText="1"/>
    </xf>
    <xf borderId="0" fillId="0" fontId="23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0"/>
    </xf>
    <xf borderId="0" fillId="0" fontId="1" numFmtId="164" xfId="0" applyAlignment="1" applyFont="1" applyNumberFormat="1">
      <alignment shrinkToFit="0" wrapText="1"/>
    </xf>
    <xf borderId="0" fillId="0" fontId="18" numFmtId="11" xfId="0" applyAlignment="1" applyFont="1" applyNumberFormat="1">
      <alignment readingOrder="0"/>
    </xf>
    <xf borderId="0" fillId="9" fontId="24" numFmtId="0" xfId="0" applyAlignment="1" applyFill="1" applyFont="1">
      <alignment readingOrder="0" shrinkToFit="0" wrapText="1"/>
    </xf>
    <xf borderId="1" fillId="0" fontId="25" numFmtId="0" xfId="0" applyAlignment="1" applyBorder="1" applyFont="1">
      <alignment vertical="bottom"/>
    </xf>
    <xf borderId="1" fillId="0" fontId="26" numFmtId="0" xfId="0" applyAlignment="1" applyBorder="1" applyFont="1">
      <alignment vertical="bottom"/>
    </xf>
    <xf borderId="1" fillId="0" fontId="26" numFmtId="0" xfId="0" applyAlignment="1" applyBorder="1" applyFont="1">
      <alignment shrinkToFit="0" vertical="bottom" wrapText="1"/>
    </xf>
    <xf borderId="0" fillId="0" fontId="26" numFmtId="0" xfId="0" applyAlignment="1" applyFont="1">
      <alignment vertical="bottom"/>
    </xf>
    <xf borderId="0" fillId="0" fontId="26" numFmtId="0" xfId="0" applyFont="1"/>
    <xf borderId="1" fillId="0" fontId="27" numFmtId="0" xfId="0" applyAlignment="1" applyBorder="1" applyFont="1">
      <alignment horizontal="center" shrinkToFit="0" wrapText="1"/>
    </xf>
    <xf borderId="1" fillId="0" fontId="26" numFmtId="0" xfId="0" applyAlignment="1" applyBorder="1" applyFont="1">
      <alignment horizontal="center"/>
    </xf>
    <xf borderId="1" fillId="0" fontId="28" numFmtId="165" xfId="0" applyAlignment="1" applyBorder="1" applyFont="1" applyNumberFormat="1">
      <alignment horizontal="right" vertical="bottom"/>
    </xf>
    <xf borderId="0" fillId="0" fontId="29" numFmtId="0" xfId="0" applyAlignment="1" applyFont="1">
      <alignment vertical="bottom"/>
    </xf>
    <xf borderId="1" fillId="0" fontId="30" numFmtId="0" xfId="0" applyAlignment="1" applyBorder="1" applyFont="1">
      <alignment horizontal="center" shrinkToFit="0" wrapText="1"/>
    </xf>
    <xf borderId="2" fillId="0" fontId="30" numFmtId="0" xfId="0" applyAlignment="1" applyBorder="1" applyFont="1">
      <alignment horizontal="center"/>
    </xf>
    <xf borderId="2" fillId="0" fontId="26" numFmtId="0" xfId="0" applyAlignment="1" applyBorder="1" applyFont="1">
      <alignment horizontal="center"/>
    </xf>
    <xf borderId="3" fillId="0" fontId="31" numFmtId="0" xfId="0" applyBorder="1" applyFont="1"/>
    <xf borderId="0" fillId="0" fontId="32" numFmtId="0" xfId="0" applyAlignment="1" applyFont="1">
      <alignment vertical="bottom"/>
    </xf>
    <xf borderId="0" fillId="0" fontId="26" numFmtId="0" xfId="0" applyAlignment="1" applyFont="1">
      <alignment shrinkToFit="0" vertical="bottom" wrapText="1"/>
    </xf>
    <xf borderId="0" fillId="0" fontId="33" numFmtId="0" xfId="0" applyAlignment="1" applyFont="1">
      <alignment vertical="bottom"/>
    </xf>
    <xf borderId="0" fillId="8" fontId="26" numFmtId="0" xfId="0" applyAlignment="1" applyFont="1">
      <alignment shrinkToFit="0" vertical="bottom" wrapText="1"/>
    </xf>
    <xf borderId="0" fillId="10" fontId="26" numFmtId="0" xfId="0" applyAlignment="1" applyFill="1" applyFont="1">
      <alignment vertical="bottom"/>
    </xf>
    <xf borderId="0" fillId="0" fontId="26" numFmtId="0" xfId="0" applyAlignment="1" applyFont="1">
      <alignment readingOrder="0" vertical="bottom"/>
    </xf>
    <xf borderId="0" fillId="8" fontId="26" numFmtId="0" xfId="0" applyAlignment="1" applyFont="1">
      <alignment readingOrder="0" vertical="bottom"/>
    </xf>
    <xf borderId="4" fillId="0" fontId="26" numFmtId="0" xfId="0" applyAlignment="1" applyBorder="1" applyFont="1">
      <alignment readingOrder="0" vertical="bottom"/>
    </xf>
    <xf borderId="4" fillId="0" fontId="26" numFmtId="0" xfId="0" applyAlignment="1" applyBorder="1" applyFont="1">
      <alignment readingOrder="0"/>
    </xf>
    <xf borderId="4" fillId="0" fontId="26" numFmtId="0" xfId="0" applyAlignment="1" applyBorder="1" applyFont="1">
      <alignment vertical="bottom"/>
    </xf>
    <xf borderId="5" fillId="0" fontId="26" numFmtId="0" xfId="0" applyAlignment="1" applyBorder="1" applyFont="1">
      <alignment readingOrder="0" vertical="bottom"/>
    </xf>
    <xf borderId="6" fillId="11" fontId="34" numFmtId="0" xfId="0" applyAlignment="1" applyBorder="1" applyFill="1" applyFont="1">
      <alignment readingOrder="0" shrinkToFit="0" vertical="bottom" wrapText="1"/>
    </xf>
    <xf borderId="7" fillId="0" fontId="26" numFmtId="0" xfId="0" applyAlignment="1" applyBorder="1" applyFont="1">
      <alignment vertical="bottom"/>
    </xf>
    <xf borderId="8" fillId="0" fontId="26" numFmtId="0" xfId="0" applyAlignment="1" applyBorder="1" applyFont="1">
      <alignment vertical="bottom"/>
    </xf>
    <xf borderId="9" fillId="0" fontId="26" numFmtId="0" xfId="0" applyAlignment="1" applyBorder="1" applyFont="1">
      <alignment readingOrder="0" vertical="bottom"/>
    </xf>
    <xf borderId="10" fillId="0" fontId="26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ozon.ru/category/elektronika-15500/?category_was_predicted=true&amp;deny_category_prediction=true&amp;from_global=true&amp;text=%D0%9A%D0%BE%D1%80%D0%BF%D1%83%D1%81+%D0%B4%D0%BB%D1%8F+18650" TargetMode="External"/><Relationship Id="rId10" Type="http://schemas.openxmlformats.org/officeDocument/2006/relationships/hyperlink" Target="https://www.ozon.ru/product/gps-priemnik-gy-neo7m-s-aktivnoy-antennoy-ublox-neo-7m-2905638756/?at=J8tgMq36GI5KzY29h6kklD6hMJKKz8HWP2LWmsYYD1wV" TargetMode="External"/><Relationship Id="rId13" Type="http://schemas.openxmlformats.org/officeDocument/2006/relationships/hyperlink" Target="https://www.ozon.ru/product/ponizhayushchiy-dc-dc-preobrazovatel-mp1584en-gw1584-reguliruemyy-1709603449/?at=RltyZvjM9syDR5YgUE9kMVESp4z0Y9TEWZmVxFKNMGLA" TargetMode="External"/><Relationship Id="rId12" Type="http://schemas.openxmlformats.org/officeDocument/2006/relationships/hyperlink" Target="https://www.ozon.ru/product/ponizhayushchiy-dc-dc-preobrazovatel-mp1584en-2-shtuki-2731836091/?at=Z8tXB5rkZtJ35XO7ik53n27ivrmR2ViwzQzGVSy5z7wj" TargetMode="External"/><Relationship Id="rId1" Type="http://schemas.openxmlformats.org/officeDocument/2006/relationships/hyperlink" Target="https://www.ozon.ru/product/datchik-vlazhnosti-pochvy-yl-69-fc-28-datchik-poliva-modul-dlya-arduino-933683586/?at=x6tPkVoWnHxOQNmnCgPkwWoHv717gNcpKpg5xsKv9ApE" TargetMode="External"/><Relationship Id="rId2" Type="http://schemas.openxmlformats.org/officeDocument/2006/relationships/hyperlink" Target="https://www.chipdip.ru/product/sen0193-multiple-function-sensor-development-tools-dfrobot-8005437143" TargetMode="External"/><Relationship Id="rId3" Type="http://schemas.openxmlformats.org/officeDocument/2006/relationships/hyperlink" Target="https://www.ozon.ru/product/emkostnoy-datchik-vlazhnosti-pochvy-hw-390-v1-2-1046320506/?at=XQtk2RoLVFROk7NmCOWAG8xHWXq0xVh52YNXVTDZj41R" TargetMode="External"/><Relationship Id="rId4" Type="http://schemas.openxmlformats.org/officeDocument/2006/relationships/hyperlink" Target="https://amperka.ru/product/sealed-temperature-sensor-ds18b20" TargetMode="External"/><Relationship Id="rId9" Type="http://schemas.openxmlformats.org/officeDocument/2006/relationships/hyperlink" Target="https://www.ozon.ru/product/gps-modul-gy-neo-6m-sma-micro-usb-617563602/?at=NOtwy0DOKcVMLMMmi7ZppMZfGlxNPLuXQl2KgIz59x1q" TargetMode="External"/><Relationship Id="rId15" Type="http://schemas.openxmlformats.org/officeDocument/2006/relationships/hyperlink" Target="https://www.ozon.ru/product/ponizhayushchiy-dc-dc-preobrazovatel-napryazheniya-mini360-modul-konverter-dlya-arduino-arduino-2432567961/?at=DqtDG5NE2FRjr0G5IwBonGjTwk6NXnT88REnKsqKY7qw" TargetMode="External"/><Relationship Id="rId14" Type="http://schemas.openxmlformats.org/officeDocument/2006/relationships/hyperlink" Target="https://www.ozon.ru/product/ponizhayushchiy-dc-dc-preobrazovatel-napryazheniya-mini360-modul-konverter-dlya-arduino-arduino-623137181/?at=46tRkBMDNu2pVAJrC12PQmzCq8ELlmhzEW2MOhYGlyBN" TargetMode="External"/><Relationship Id="rId17" Type="http://schemas.openxmlformats.org/officeDocument/2006/relationships/hyperlink" Target="https://aliexpress.ru/item/32923419688.html?aff_fcid=5a1d2fd657ff49c38ff6122273301f4f-1630236739324-02607-mr6wR6CC&amp;aff_fsk=mr6wR6CC&amp;aff_platform=link-c-tool&amp;item_id=32923419688&amp;sku_id=66065817712&amp;utm_campaign=44981&amp;utm_content=1068989&amp;utm_medium=cpa&amp;utm_source=admitad" TargetMode="External"/><Relationship Id="rId16" Type="http://schemas.openxmlformats.org/officeDocument/2006/relationships/hyperlink" Target="https://www.ozon.ru/product/zashchitnaya-plata-zaryadnogo-ustroystva-bms-2s-20a-s-balansirovkoy-kontroller-zaryada-li-ion-1329646339/?at=WPtNo5RM7U6wrKA5iKVXkAqUxBNjX1uLv3EZDFNGkWO2" TargetMode="External"/><Relationship Id="rId5" Type="http://schemas.openxmlformats.org/officeDocument/2006/relationships/hyperlink" Target="https://www.ozon.ru/product/1sht-vodonepronitsaemyy-kabel-datchika-temperatury-ds18b20-dlinoy-1-metr-sovershenno-novyy-original-2469183621/?at=Z8tXl62ggclZAX8mfzYnYV1cpgEqRBtOAmQXVS6ER2ln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www.chipdip.ru/product/stlm75m2f-st-microelectronics-8002007452" TargetMode="External"/><Relationship Id="rId18" Type="http://schemas.openxmlformats.org/officeDocument/2006/relationships/hyperlink" Target="https://aliexpress.ru/item/32793055741.html?aff_fcid=13e1cfec4bd24bdbb525b0a3a5e50c50-1630236748433-04702-mr6wR6CC&amp;aff_fsk=mr6wR6CC&amp;aff_platform=link-c-tool&amp;pvid=de095008-2ac2-4d44-bdac-4dfe6f3b4a21&amp;rmsg=replace_same_item&amp;scm=1007.23534.124737.0&amp;utm_campaign=44981&amp;utm_content=1068989&amp;utm_medium=cpa&amp;utm_source=admitad&amp;sku_id=63741510157" TargetMode="External"/><Relationship Id="rId7" Type="http://schemas.openxmlformats.org/officeDocument/2006/relationships/hyperlink" Target="https://www.chipdip.ru/catalog/ntc-thermistors" TargetMode="External"/><Relationship Id="rId8" Type="http://schemas.openxmlformats.org/officeDocument/2006/relationships/hyperlink" Target="https://www.chipdip.ru/product/lm335z-datchik-temperatury-analogovyy-st-microelectronics-900011344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market.yandex.ru/card/materinskaya-plata-stm32l151c8t6a-zhk-displey-stm32l151-minimalnaya-sistemnaya-zhk-plata-dlya-razrabotki-nizkoye-energopotrebleniye-stm32l151c8t6a/4305876007?do-waremd5=vnY298xYSEIX7gD290m5bQ&amp;clid=1651&amp;ogV=-8" TargetMode="External"/><Relationship Id="rId2" Type="http://schemas.openxmlformats.org/officeDocument/2006/relationships/hyperlink" Target="https://market.yandex.ru/card/stm32f103c8t6-otladochnaya-plata-stm32/101816055502" TargetMode="External"/><Relationship Id="rId3" Type="http://schemas.openxmlformats.org/officeDocument/2006/relationships/hyperlink" Target="https://market.yandex.ru/card/otladochnaya-plata-na-baze-mikrokontrollera-stm32f401ccu6/101947359326?do-waremd5=cXusUUQQNiqN8TzMHCBtPA&amp;cpc=LWezhU3XlEtQI0_RaoAarzAk1Y1r-bHXKMrVLS8OqjkdpxRAGjq0lUczHRaYG6pyJ4DPzkSQxFWaAx37fJKJjYHplc9ZlOOYocg-JmtQodkeEjARWG91ixadRoIfYEhgmV2FCIP3nktZufUc7A8GyKtSJcVZvIRDd33CnHvehv55d5DejOs0dtY5hcnaWBZ_7ihRCeJ9THFAVMqevWWpMe49W_FKuWmzMz4Lao2_DMXXyNikisX_g-CIyUt7kA8VGUgssu8rfkeyDKnmFr2prdX3nwYnWj_rlV-z2bXaLiQbI1a1KGIyowrW9fLyUpdRMSSPYRaxEfCTJx_zvrcYf-TcyERBfcuspWIUMF__FJm0jHgUzqNqXz_jN3mZ-vTJvfmp7dxyiTrqQ_OoZ5tVUF43H2_00UYXqqn-Si9nV0wlsDBsgZtcmLC7NQPSwchBHYmR-SOA3QaYgjCyN-zuL-Qe8mncKZ2Ws3usytW89RIAJ9QIek_z86qOoEnGf1rh7z7Fj4-pluCfw5Ygw5cQA1vv4GYpKuy1CxmRMyF2OB2vFFk81RW-xdVMnCC9zmOPyRrpLK0nhAsmqYCu-k4EsJtFoGEWrMDFT9xX4H7ec1Pz8d8SmY2LHWHEQ28TcxIiTN4E8kSb6pTdp2D7vlEHV3XS71J95_aG0oll7xv1q3IZGu1YMp3UZrV_5x0IL3Fx3Ghe8riVNfaxvPZ6mHYCNvGq0ksguNqw&amp;nid=61856&amp;ogV=-8" TargetMode="External"/><Relationship Id="rId4" Type="http://schemas.openxmlformats.org/officeDocument/2006/relationships/hyperlink" Target="https://market.yandex.ru/card/obuchayushchaya-plata-stm32f401-tzt-model-1-stm32f401ccu6/4664380039" TargetMode="External"/><Relationship Id="rId5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6.25"/>
    <col customWidth="1" min="3" max="3" width="30.0"/>
    <col customWidth="1" min="4" max="4" width="30.25"/>
    <col customWidth="1" min="5" max="5" width="25.5"/>
    <col customWidth="1" min="6" max="6" width="25.13"/>
    <col customWidth="1" min="9" max="9" width="17.5"/>
    <col customWidth="1" min="10" max="10" width="16.25"/>
    <col customWidth="1" min="11" max="11" width="50.38"/>
    <col customWidth="1" min="12" max="12" width="16.75"/>
    <col customWidth="1" min="13" max="13" width="18.13"/>
  </cols>
  <sheetData>
    <row r="1" ht="38.25" customHeight="1">
      <c r="A1" s="1" t="s">
        <v>0</v>
      </c>
      <c r="B1" s="1" t="s">
        <v>1</v>
      </c>
      <c r="D1" s="2" t="s">
        <v>2</v>
      </c>
      <c r="E1" s="3"/>
      <c r="F1" s="3"/>
      <c r="G1" s="3"/>
      <c r="H1" s="3"/>
      <c r="I1" s="3"/>
      <c r="J1" s="3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84.75" customHeight="1">
      <c r="A2" s="3"/>
      <c r="B2" s="5" t="s">
        <v>3</v>
      </c>
      <c r="C2" s="6" t="s">
        <v>4</v>
      </c>
      <c r="D2" s="7" t="s">
        <v>5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8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7.25" customHeight="1">
      <c r="A5" s="9" t="s">
        <v>17</v>
      </c>
      <c r="B5" s="1" t="s">
        <v>18</v>
      </c>
      <c r="C5" s="10" t="s">
        <v>19</v>
      </c>
      <c r="D5" s="1" t="s">
        <v>20</v>
      </c>
      <c r="E5" s="1" t="s">
        <v>21</v>
      </c>
      <c r="F5" s="1" t="s">
        <v>22</v>
      </c>
      <c r="G5" s="11" t="s">
        <v>23</v>
      </c>
      <c r="H5" s="1" t="s">
        <v>24</v>
      </c>
      <c r="I5" s="4"/>
      <c r="J5" s="1" t="s">
        <v>25</v>
      </c>
      <c r="K5" s="12" t="s">
        <v>26</v>
      </c>
      <c r="L5" s="4"/>
      <c r="M5" s="4" t="str">
        <f>IMAGE("https://ir.ozone.ru/s3/multimedia-1-2/wc1000/6940000910.jpg")</f>
        <v/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8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53.25" customHeight="1">
      <c r="A7" s="4"/>
      <c r="B7" s="1" t="s">
        <v>27</v>
      </c>
      <c r="C7" s="13" t="s">
        <v>28</v>
      </c>
      <c r="D7" s="1" t="s">
        <v>29</v>
      </c>
      <c r="E7" s="1" t="s">
        <v>30</v>
      </c>
      <c r="F7" s="1" t="s">
        <v>31</v>
      </c>
      <c r="G7" s="11" t="s">
        <v>32</v>
      </c>
      <c r="H7" s="1" t="s">
        <v>24</v>
      </c>
      <c r="I7" s="14"/>
      <c r="J7" s="1" t="s">
        <v>33</v>
      </c>
      <c r="K7" s="15" t="s">
        <v>34</v>
      </c>
      <c r="L7" s="4"/>
      <c r="M7" s="4" t="str">
        <f>IMAGE("https://static.chipdip.ru/lib/135/DOC044135431.jpg")</f>
        <v/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92.25" customHeight="1">
      <c r="A8" s="4"/>
      <c r="B8" s="4"/>
      <c r="C8" s="16" t="s">
        <v>35</v>
      </c>
      <c r="D8" s="1" t="s">
        <v>36</v>
      </c>
      <c r="E8" s="1" t="s">
        <v>21</v>
      </c>
      <c r="F8" s="1" t="s">
        <v>31</v>
      </c>
      <c r="G8" s="11" t="s">
        <v>23</v>
      </c>
      <c r="H8" s="1" t="s">
        <v>24</v>
      </c>
      <c r="I8" s="4"/>
      <c r="J8" s="1" t="s">
        <v>37</v>
      </c>
      <c r="K8" s="17" t="s">
        <v>38</v>
      </c>
      <c r="L8" s="4"/>
      <c r="M8" s="4" t="str">
        <f>IMAGE("https://ir.ozone.ru/s3/multimedia-k/wc1000/6686535836.jpg")</f>
        <v/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8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6.0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9"/>
      <c r="L10" s="18"/>
      <c r="M10" s="18"/>
      <c r="N10" s="18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7.25" customHeight="1">
      <c r="A11" s="4"/>
      <c r="B11" s="4"/>
      <c r="C11" s="4"/>
      <c r="D11" s="1" t="s">
        <v>39</v>
      </c>
      <c r="E11" s="4"/>
      <c r="F11" s="4"/>
      <c r="G11" s="4"/>
      <c r="H11" s="4"/>
      <c r="I11" s="4"/>
      <c r="J11" s="4"/>
      <c r="K11" s="8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90.75" customHeight="1">
      <c r="A12" s="9" t="s">
        <v>40</v>
      </c>
      <c r="B12" s="20" t="s">
        <v>41</v>
      </c>
      <c r="C12" s="21" t="s">
        <v>42</v>
      </c>
      <c r="D12" s="1" t="s">
        <v>43</v>
      </c>
      <c r="E12" s="22" t="s">
        <v>44</v>
      </c>
      <c r="F12" s="1" t="s">
        <v>45</v>
      </c>
      <c r="G12" s="20" t="s">
        <v>46</v>
      </c>
      <c r="H12" s="20" t="s">
        <v>47</v>
      </c>
      <c r="I12" s="1" t="s">
        <v>48</v>
      </c>
      <c r="J12" s="4"/>
      <c r="K12" s="15" t="s">
        <v>49</v>
      </c>
      <c r="L12" s="15" t="s">
        <v>50</v>
      </c>
      <c r="M12" s="4" t="str">
        <f>IMAGE("https://static.insales-cdn.com/images/products/1/5200/31437904/sealed-temperature-sensor-ds18b20.0.jpg")</f>
        <v/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8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1" t="s">
        <v>51</v>
      </c>
      <c r="C14" s="20" t="s">
        <v>52</v>
      </c>
      <c r="D14" s="4"/>
      <c r="E14" s="1" t="s">
        <v>53</v>
      </c>
      <c r="F14" s="1" t="s">
        <v>45</v>
      </c>
      <c r="G14" s="1" t="s">
        <v>32</v>
      </c>
      <c r="H14" s="23" t="s">
        <v>54</v>
      </c>
      <c r="I14" s="1" t="s">
        <v>55</v>
      </c>
      <c r="J14" s="4"/>
      <c r="K14" s="12" t="s">
        <v>56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8"/>
      <c r="L15" s="4"/>
      <c r="M15" s="4"/>
      <c r="N15" s="4"/>
      <c r="O15" s="4"/>
      <c r="P15" s="4"/>
      <c r="Q15" s="4"/>
      <c r="R15" s="4" t="str">
        <f>IMAGE("https://static.insales-cdn.com/images/products/1/5200/31437904/sealed-temperature-sensor-ds18b20.0.jpg")</f>
        <v/>
      </c>
      <c r="S15" s="4"/>
      <c r="T15" s="4"/>
      <c r="U15" s="4"/>
      <c r="V15" s="4"/>
      <c r="W15" s="4"/>
      <c r="X15" s="4"/>
      <c r="Y15" s="4"/>
      <c r="Z15" s="4"/>
    </row>
    <row r="16">
      <c r="A16" s="4"/>
      <c r="B16" s="1" t="s">
        <v>57</v>
      </c>
      <c r="C16" s="20" t="s">
        <v>58</v>
      </c>
      <c r="D16" s="1" t="s">
        <v>59</v>
      </c>
      <c r="E16" s="1" t="s">
        <v>60</v>
      </c>
      <c r="F16" s="1" t="s">
        <v>60</v>
      </c>
      <c r="G16" s="1" t="s">
        <v>61</v>
      </c>
      <c r="H16" s="1" t="s">
        <v>24</v>
      </c>
      <c r="I16" s="1" t="s">
        <v>61</v>
      </c>
      <c r="J16" s="4"/>
      <c r="K16" s="17" t="s">
        <v>62</v>
      </c>
      <c r="M16" s="4" t="str">
        <f>IMAGE("https://static.chipdip.ru/lib/658/DOC005658679.jpg")</f>
        <v/>
      </c>
      <c r="N16" s="4" t="str">
        <f>IMAGE("https://static.chipdip.ru/lib/300/DOC005300218.jpg")</f>
        <v/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1"/>
      <c r="C17" s="4"/>
      <c r="D17" s="4"/>
      <c r="E17" s="4"/>
      <c r="F17" s="4"/>
      <c r="G17" s="4"/>
      <c r="H17" s="4"/>
      <c r="I17" s="4"/>
      <c r="J17" s="4"/>
      <c r="K17" s="2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88.5" customHeight="1">
      <c r="A18" s="4"/>
      <c r="B18" s="1" t="s">
        <v>63</v>
      </c>
      <c r="C18" s="1" t="s">
        <v>64</v>
      </c>
      <c r="D18" s="4"/>
      <c r="E18" s="1" t="s">
        <v>65</v>
      </c>
      <c r="F18" s="4"/>
      <c r="G18" s="1" t="s">
        <v>66</v>
      </c>
      <c r="H18" s="1" t="s">
        <v>65</v>
      </c>
      <c r="I18" s="4"/>
      <c r="J18" s="4"/>
      <c r="K18" s="15" t="s">
        <v>67</v>
      </c>
      <c r="M18" s="4" t="str">
        <f>IMAGE("https://static.chipdip.ru/lib/299/DOC005299940.jpg")</f>
        <v/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1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8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8.2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9"/>
      <c r="L20" s="18"/>
      <c r="M20" s="18"/>
      <c r="N20" s="18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8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9" t="s">
        <v>68</v>
      </c>
      <c r="B22" s="25" t="s">
        <v>69</v>
      </c>
      <c r="C22" s="26" t="s">
        <v>70</v>
      </c>
      <c r="D22" s="27" t="s">
        <v>71</v>
      </c>
      <c r="E22" s="1" t="s">
        <v>72</v>
      </c>
      <c r="F22" s="1" t="s">
        <v>73</v>
      </c>
      <c r="G22" s="25" t="s">
        <v>74</v>
      </c>
      <c r="H22" s="1" t="s">
        <v>75</v>
      </c>
      <c r="I22" s="25" t="s">
        <v>76</v>
      </c>
      <c r="J22" s="1" t="s">
        <v>77</v>
      </c>
      <c r="K22" s="15" t="s">
        <v>78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25" t="s">
        <v>79</v>
      </c>
      <c r="C23" s="28" t="s">
        <v>80</v>
      </c>
      <c r="D23" s="27" t="s">
        <v>81</v>
      </c>
      <c r="E23" s="1" t="s">
        <v>82</v>
      </c>
      <c r="F23" s="1" t="s">
        <v>73</v>
      </c>
      <c r="G23" s="25" t="s">
        <v>83</v>
      </c>
      <c r="H23" s="1" t="s">
        <v>84</v>
      </c>
      <c r="I23" s="25" t="s">
        <v>76</v>
      </c>
      <c r="J23" s="1" t="s">
        <v>77</v>
      </c>
      <c r="K23" s="12" t="s">
        <v>85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25" t="s">
        <v>86</v>
      </c>
      <c r="C24" s="27" t="s">
        <v>87</v>
      </c>
      <c r="D24" s="27" t="s">
        <v>88</v>
      </c>
      <c r="E24" s="1" t="s">
        <v>89</v>
      </c>
      <c r="F24" s="1" t="s">
        <v>73</v>
      </c>
      <c r="G24" s="25" t="s">
        <v>90</v>
      </c>
      <c r="H24" s="1" t="s">
        <v>91</v>
      </c>
      <c r="I24" s="25" t="s">
        <v>76</v>
      </c>
      <c r="J24" s="4"/>
      <c r="K24" s="8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8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6.0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9"/>
      <c r="L26" s="18"/>
      <c r="M26" s="18"/>
      <c r="N26" s="18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6.5" customHeight="1">
      <c r="A27" s="4"/>
      <c r="B27" s="4"/>
      <c r="C27" s="4"/>
      <c r="D27" s="4"/>
      <c r="E27" s="4"/>
      <c r="F27" s="4"/>
      <c r="G27" s="4"/>
      <c r="H27" s="4"/>
      <c r="I27" s="4"/>
      <c r="J27" s="25"/>
      <c r="K27" s="8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9" t="s">
        <v>92</v>
      </c>
      <c r="B28" s="29" t="s">
        <v>93</v>
      </c>
      <c r="C28" s="27" t="s">
        <v>94</v>
      </c>
      <c r="D28" s="27" t="s">
        <v>95</v>
      </c>
      <c r="E28" s="1" t="s">
        <v>96</v>
      </c>
      <c r="F28" s="4"/>
      <c r="G28" s="4"/>
      <c r="H28" s="27" t="s">
        <v>97</v>
      </c>
      <c r="I28" s="27" t="s">
        <v>98</v>
      </c>
      <c r="J28" s="25"/>
      <c r="K28" s="8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27" t="s">
        <v>99</v>
      </c>
      <c r="C29" s="27" t="s">
        <v>94</v>
      </c>
      <c r="D29" s="27" t="s">
        <v>100</v>
      </c>
      <c r="E29" s="1" t="s">
        <v>101</v>
      </c>
      <c r="F29" s="4"/>
      <c r="G29" s="4"/>
      <c r="H29" s="27" t="s">
        <v>102</v>
      </c>
      <c r="I29" s="27" t="s">
        <v>103</v>
      </c>
      <c r="J29" s="4"/>
      <c r="K29" s="8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27" t="s">
        <v>104</v>
      </c>
      <c r="C30" s="27" t="s">
        <v>105</v>
      </c>
      <c r="D30" s="27" t="s">
        <v>106</v>
      </c>
      <c r="E30" s="1" t="s">
        <v>107</v>
      </c>
      <c r="F30" s="4"/>
      <c r="G30" s="4"/>
      <c r="H30" s="27" t="s">
        <v>108</v>
      </c>
      <c r="I30" s="27" t="s">
        <v>109</v>
      </c>
      <c r="J30" s="4"/>
      <c r="K30" s="8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27" t="s">
        <v>110</v>
      </c>
      <c r="C31" s="27" t="s">
        <v>111</v>
      </c>
      <c r="D31" s="27" t="s">
        <v>112</v>
      </c>
      <c r="E31" s="1" t="s">
        <v>113</v>
      </c>
      <c r="F31" s="4"/>
      <c r="G31" s="4"/>
      <c r="H31" s="27" t="s">
        <v>114</v>
      </c>
      <c r="I31" s="27" t="s">
        <v>115</v>
      </c>
      <c r="K31" s="30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K32" s="30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B33" s="31" t="s">
        <v>116</v>
      </c>
      <c r="C33" s="32" t="s">
        <v>117</v>
      </c>
      <c r="K33" s="30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E34" s="32" t="s">
        <v>118</v>
      </c>
      <c r="K34" s="30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K35" s="30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B36" s="2" t="s">
        <v>119</v>
      </c>
      <c r="C36" s="2" t="s">
        <v>120</v>
      </c>
      <c r="D36" s="33" t="s">
        <v>121</v>
      </c>
      <c r="K36" s="30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D37" s="33"/>
      <c r="E37" s="32" t="s">
        <v>122</v>
      </c>
      <c r="K37" s="30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8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1" t="s">
        <v>123</v>
      </c>
      <c r="D39" s="34" t="s">
        <v>124</v>
      </c>
      <c r="E39" s="35" t="s">
        <v>125</v>
      </c>
      <c r="F39" s="36"/>
      <c r="G39" s="36"/>
      <c r="H39" s="4"/>
      <c r="I39" s="4"/>
      <c r="J39" s="4"/>
      <c r="K39" s="8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34"/>
      <c r="E40" s="35" t="s">
        <v>126</v>
      </c>
      <c r="F40" s="36"/>
      <c r="G40" s="36"/>
      <c r="H40" s="4"/>
      <c r="I40" s="4"/>
      <c r="J40" s="4"/>
      <c r="K40" s="8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8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F42" s="4"/>
      <c r="G42" s="4"/>
      <c r="H42" s="4"/>
      <c r="I42" s="4"/>
      <c r="J42" s="4"/>
      <c r="K42" s="8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J43" s="4"/>
      <c r="K43" s="8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J44" s="4"/>
      <c r="K44" s="8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B45" s="1" t="s">
        <v>127</v>
      </c>
      <c r="C45" s="4"/>
      <c r="D45" s="37" t="s">
        <v>128</v>
      </c>
      <c r="E45" s="35" t="s">
        <v>129</v>
      </c>
      <c r="J45" s="4"/>
      <c r="K45" s="8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J46" s="4"/>
      <c r="K46" s="8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38"/>
      <c r="B47" s="39" t="s">
        <v>130</v>
      </c>
      <c r="C47" s="4"/>
      <c r="D47" s="4"/>
      <c r="E47" s="4"/>
      <c r="F47" s="4"/>
      <c r="G47" s="4"/>
      <c r="H47" s="4"/>
      <c r="I47" s="4"/>
      <c r="J47" s="4"/>
      <c r="K47" s="8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0" t="s">
        <v>131</v>
      </c>
      <c r="C48" s="36"/>
      <c r="D48" s="40" t="s">
        <v>132</v>
      </c>
      <c r="E48" s="35" t="s">
        <v>133</v>
      </c>
      <c r="F48" s="4"/>
      <c r="G48" s="4"/>
      <c r="H48" s="4"/>
      <c r="I48" s="4"/>
      <c r="J48" s="4"/>
      <c r="K48" s="8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36"/>
      <c r="C49" s="36"/>
      <c r="D49" s="40" t="s">
        <v>134</v>
      </c>
      <c r="E49" s="35" t="s">
        <v>135</v>
      </c>
      <c r="F49" s="4"/>
      <c r="G49" s="4"/>
      <c r="H49" s="4"/>
      <c r="I49" s="4"/>
      <c r="J49" s="4"/>
      <c r="K49" s="8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1"/>
      <c r="I50" s="4"/>
      <c r="J50" s="4"/>
      <c r="K50" s="8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8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8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B1:C1"/>
  </mergeCells>
  <hyperlinks>
    <hyperlink r:id="rId1" ref="K5"/>
    <hyperlink r:id="rId2" ref="K7"/>
    <hyperlink r:id="rId3" ref="K8"/>
    <hyperlink r:id="rId4" ref="K12"/>
    <hyperlink r:id="rId5" ref="L12"/>
    <hyperlink r:id="rId6" ref="K14"/>
    <hyperlink r:id="rId7" ref="K16"/>
    <hyperlink r:id="rId8" ref="K18"/>
    <hyperlink r:id="rId9" ref="K22"/>
    <hyperlink r:id="rId10" ref="K23"/>
    <hyperlink r:id="rId11" ref="C33"/>
    <hyperlink r:id="rId12" ref="E34"/>
    <hyperlink r:id="rId13" ref="E37"/>
    <hyperlink r:id="rId14" ref="E39"/>
    <hyperlink r:id="rId15" ref="E40"/>
    <hyperlink r:id="rId16" ref="E45"/>
    <hyperlink r:id="rId17" ref="E48"/>
    <hyperlink r:id="rId18" ref="E49"/>
  </hyperlinks>
  <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23.38"/>
    <col customWidth="1" min="3" max="3" width="40.75"/>
    <col customWidth="1" min="4" max="4" width="41.0"/>
    <col customWidth="1" min="5" max="5" width="54.75"/>
    <col customWidth="1" min="6" max="6" width="21.38"/>
    <col customWidth="1" min="7" max="7" width="33.25"/>
    <col customWidth="1" min="8" max="8" width="22.13"/>
  </cols>
  <sheetData>
    <row r="1">
      <c r="A1" s="31" t="s">
        <v>136</v>
      </c>
      <c r="B1" s="31" t="s">
        <v>137</v>
      </c>
      <c r="C1" s="31" t="s">
        <v>138</v>
      </c>
      <c r="D1" s="31" t="s">
        <v>139</v>
      </c>
      <c r="E1" s="31" t="s">
        <v>140</v>
      </c>
      <c r="F1" s="31" t="s">
        <v>141</v>
      </c>
      <c r="G1" s="31" t="s">
        <v>142</v>
      </c>
    </row>
    <row r="2">
      <c r="A2" s="31" t="s">
        <v>143</v>
      </c>
      <c r="B2" s="31">
        <v>2000.0</v>
      </c>
      <c r="C2" s="31">
        <f>2*7.4</f>
        <v>14.8</v>
      </c>
      <c r="D2" s="31">
        <v>8.013</v>
      </c>
      <c r="E2" s="31">
        <v>0.0159</v>
      </c>
      <c r="F2" s="31">
        <v>0.0274</v>
      </c>
      <c r="G2" s="31" t="s">
        <v>144</v>
      </c>
      <c r="H2" s="31"/>
      <c r="I2" s="31"/>
    </row>
    <row r="3">
      <c r="A3" s="31" t="s">
        <v>145</v>
      </c>
      <c r="D3" s="31">
        <v>0.0272</v>
      </c>
      <c r="E3" s="31">
        <v>1.14E-5</v>
      </c>
      <c r="F3" s="42">
        <v>3.02E-6</v>
      </c>
      <c r="G3" s="31" t="s">
        <v>146</v>
      </c>
    </row>
    <row r="4">
      <c r="A4" s="31" t="s">
        <v>147</v>
      </c>
      <c r="D4" s="31">
        <v>0.008</v>
      </c>
      <c r="E4" s="31">
        <v>5.4E-6</v>
      </c>
      <c r="F4" s="31">
        <v>4.53E-6</v>
      </c>
      <c r="G4" s="31" t="s">
        <v>148</v>
      </c>
    </row>
    <row r="5">
      <c r="A5" s="31" t="s">
        <v>149</v>
      </c>
      <c r="D5" s="31">
        <v>0.364</v>
      </c>
      <c r="E5" s="31">
        <v>8.15E-5</v>
      </c>
      <c r="F5" s="31">
        <v>1.087E-4</v>
      </c>
    </row>
    <row r="6">
      <c r="A6" s="31" t="s">
        <v>150</v>
      </c>
      <c r="D6" s="31">
        <v>3.315</v>
      </c>
      <c r="E6" s="42">
        <v>1.09E-5</v>
      </c>
      <c r="F6" s="31">
        <v>0.00272</v>
      </c>
    </row>
    <row r="7">
      <c r="A7" s="31" t="s">
        <v>151</v>
      </c>
      <c r="C7" s="31" t="s">
        <v>152</v>
      </c>
      <c r="D7" s="31">
        <v>0.543</v>
      </c>
      <c r="E7" s="31">
        <v>2.34E-4</v>
      </c>
      <c r="F7" s="31">
        <v>0.003276</v>
      </c>
    </row>
    <row r="8">
      <c r="A8" s="31" t="s">
        <v>153</v>
      </c>
      <c r="D8" s="31">
        <v>0.074</v>
      </c>
      <c r="E8" s="31">
        <v>3.7E-5</v>
      </c>
      <c r="F8" s="31">
        <v>7.4E-5</v>
      </c>
    </row>
    <row r="9">
      <c r="A9" s="31" t="s">
        <v>154</v>
      </c>
      <c r="C9" s="31" t="s">
        <v>155</v>
      </c>
      <c r="D9" s="31">
        <v>0.0155</v>
      </c>
      <c r="E9" s="31">
        <v>0.01554</v>
      </c>
      <c r="F9" s="31">
        <v>0.01554</v>
      </c>
    </row>
    <row r="10">
      <c r="A10" s="31" t="s">
        <v>156</v>
      </c>
      <c r="D10" s="31">
        <v>0.002445</v>
      </c>
      <c r="E10" s="31">
        <v>2.7E-6</v>
      </c>
      <c r="F10" s="31">
        <v>0.001902</v>
      </c>
    </row>
    <row r="11">
      <c r="A11" s="31" t="s">
        <v>157</v>
      </c>
      <c r="C11" s="31"/>
      <c r="D11" s="31">
        <v>0.005435</v>
      </c>
      <c r="E11" s="31">
        <v>3.26E-5</v>
      </c>
      <c r="F11" s="31">
        <v>0.003804</v>
      </c>
    </row>
    <row r="12">
      <c r="A12" s="31"/>
      <c r="C12" s="31"/>
      <c r="F12" s="31">
        <v>0.002</v>
      </c>
    </row>
    <row r="13">
      <c r="F13" s="43" t="s">
        <v>158</v>
      </c>
    </row>
    <row r="14">
      <c r="B14" s="31" t="s">
        <v>159</v>
      </c>
    </row>
    <row r="15">
      <c r="C15" s="31" t="s">
        <v>160</v>
      </c>
      <c r="D15" s="31" t="s">
        <v>161</v>
      </c>
    </row>
    <row r="16">
      <c r="A16" s="31" t="s">
        <v>42</v>
      </c>
    </row>
    <row r="17">
      <c r="A17" s="31" t="s">
        <v>162</v>
      </c>
      <c r="B17" s="31" t="s">
        <v>163</v>
      </c>
      <c r="C17" s="31" t="s">
        <v>164</v>
      </c>
      <c r="D17" s="31" t="s">
        <v>165</v>
      </c>
    </row>
    <row r="18">
      <c r="A18" s="31" t="s">
        <v>166</v>
      </c>
      <c r="B18" s="31" t="s">
        <v>167</v>
      </c>
      <c r="C18" s="31" t="s">
        <v>168</v>
      </c>
      <c r="D18" s="31" t="s">
        <v>169</v>
      </c>
      <c r="E18" s="31" t="s">
        <v>170</v>
      </c>
    </row>
    <row r="19">
      <c r="A19" s="31" t="s">
        <v>171</v>
      </c>
      <c r="B19" s="31" t="s">
        <v>172</v>
      </c>
      <c r="C19" s="31" t="s">
        <v>173</v>
      </c>
      <c r="D19" s="31" t="s">
        <v>174</v>
      </c>
    </row>
    <row r="20">
      <c r="A20" s="31" t="s">
        <v>175</v>
      </c>
      <c r="B20" s="31" t="s">
        <v>176</v>
      </c>
      <c r="C20" s="31" t="s">
        <v>177</v>
      </c>
      <c r="D20" s="31" t="s">
        <v>178</v>
      </c>
    </row>
    <row r="22">
      <c r="A22" s="31" t="s">
        <v>179</v>
      </c>
      <c r="B22" s="31"/>
    </row>
    <row r="23">
      <c r="A23" s="31" t="s">
        <v>180</v>
      </c>
      <c r="B23" s="31" t="s">
        <v>181</v>
      </c>
      <c r="C23" s="31" t="s">
        <v>182</v>
      </c>
      <c r="D23" s="31" t="s">
        <v>183</v>
      </c>
      <c r="E23" s="31" t="s">
        <v>184</v>
      </c>
    </row>
    <row r="24">
      <c r="A24" s="31" t="s">
        <v>185</v>
      </c>
      <c r="B24" s="31" t="s">
        <v>186</v>
      </c>
      <c r="C24" s="31" t="s">
        <v>187</v>
      </c>
      <c r="D24" s="31" t="s">
        <v>188</v>
      </c>
    </row>
    <row r="25">
      <c r="A25" s="31" t="s">
        <v>189</v>
      </c>
      <c r="B25" s="31" t="s">
        <v>190</v>
      </c>
      <c r="C25" s="31" t="s">
        <v>191</v>
      </c>
      <c r="D25" s="31" t="s">
        <v>192</v>
      </c>
    </row>
    <row r="26">
      <c r="A26" s="31" t="s">
        <v>193</v>
      </c>
      <c r="B26" s="31" t="s">
        <v>194</v>
      </c>
      <c r="C26" s="31" t="s">
        <v>195</v>
      </c>
      <c r="D26" s="31" t="s">
        <v>196</v>
      </c>
    </row>
    <row r="27">
      <c r="A27" s="31" t="s">
        <v>197</v>
      </c>
      <c r="B27" s="31" t="s">
        <v>198</v>
      </c>
      <c r="C27" s="31" t="s">
        <v>199</v>
      </c>
      <c r="D27" s="31" t="s">
        <v>200</v>
      </c>
    </row>
    <row r="29">
      <c r="A29" s="31" t="s">
        <v>201</v>
      </c>
    </row>
    <row r="30">
      <c r="A30" s="31" t="s">
        <v>162</v>
      </c>
      <c r="B30" s="31" t="s">
        <v>163</v>
      </c>
      <c r="C30" s="31" t="s">
        <v>164</v>
      </c>
      <c r="D30" s="31" t="s">
        <v>165</v>
      </c>
    </row>
    <row r="31">
      <c r="A31" s="31" t="s">
        <v>202</v>
      </c>
      <c r="B31" s="31" t="s">
        <v>203</v>
      </c>
      <c r="C31" s="31" t="s">
        <v>204</v>
      </c>
      <c r="D31" s="31" t="s">
        <v>205</v>
      </c>
    </row>
    <row r="32">
      <c r="A32" s="31" t="s">
        <v>206</v>
      </c>
      <c r="B32" s="31" t="s">
        <v>207</v>
      </c>
      <c r="C32" s="31" t="s">
        <v>208</v>
      </c>
      <c r="D32" s="31" t="s">
        <v>209</v>
      </c>
    </row>
    <row r="33">
      <c r="A33" s="31" t="s">
        <v>210</v>
      </c>
      <c r="B33" s="31" t="s">
        <v>211</v>
      </c>
      <c r="C33" s="31" t="s">
        <v>212</v>
      </c>
      <c r="D33" s="31" t="s">
        <v>213</v>
      </c>
    </row>
    <row r="34">
      <c r="A34" s="31" t="s">
        <v>214</v>
      </c>
      <c r="B34" s="31" t="s">
        <v>215</v>
      </c>
      <c r="C34" s="31" t="s">
        <v>216</v>
      </c>
      <c r="D34" s="31" t="s">
        <v>217</v>
      </c>
    </row>
    <row r="35">
      <c r="A35" s="31" t="s">
        <v>218</v>
      </c>
      <c r="B35" s="31" t="s">
        <v>207</v>
      </c>
      <c r="C35" s="31" t="s">
        <v>219</v>
      </c>
      <c r="D35" s="31" t="s">
        <v>220</v>
      </c>
    </row>
    <row r="37">
      <c r="A37" s="31" t="s">
        <v>221</v>
      </c>
    </row>
    <row r="38">
      <c r="A38" s="31" t="s">
        <v>162</v>
      </c>
      <c r="B38" s="31" t="s">
        <v>163</v>
      </c>
      <c r="C38" s="31" t="s">
        <v>164</v>
      </c>
      <c r="D38" s="31" t="s">
        <v>165</v>
      </c>
    </row>
    <row r="39">
      <c r="A39" s="31" t="s">
        <v>222</v>
      </c>
      <c r="B39" s="31" t="s">
        <v>223</v>
      </c>
      <c r="C39" s="31" t="s">
        <v>224</v>
      </c>
      <c r="D39" s="31" t="s">
        <v>225</v>
      </c>
    </row>
    <row r="40">
      <c r="A40" s="31" t="s">
        <v>226</v>
      </c>
      <c r="B40" s="31" t="s">
        <v>227</v>
      </c>
      <c r="C40" s="31" t="s">
        <v>228</v>
      </c>
      <c r="D40" s="31" t="s">
        <v>229</v>
      </c>
    </row>
    <row r="42">
      <c r="A42" s="31" t="s">
        <v>230</v>
      </c>
    </row>
    <row r="43">
      <c r="A43" s="31" t="s">
        <v>162</v>
      </c>
      <c r="B43" s="31" t="s">
        <v>163</v>
      </c>
      <c r="C43" s="31" t="s">
        <v>164</v>
      </c>
      <c r="D43" s="31" t="s">
        <v>165</v>
      </c>
    </row>
    <row r="44">
      <c r="A44" s="31" t="s">
        <v>231</v>
      </c>
      <c r="B44" s="31" t="s">
        <v>232</v>
      </c>
      <c r="C44" s="31" t="s">
        <v>233</v>
      </c>
      <c r="D44" s="31" t="s">
        <v>234</v>
      </c>
    </row>
    <row r="45">
      <c r="A45" s="31" t="s">
        <v>235</v>
      </c>
      <c r="B45" s="31" t="s">
        <v>236</v>
      </c>
      <c r="C45" s="31" t="s">
        <v>237</v>
      </c>
      <c r="D45" s="31" t="s">
        <v>238</v>
      </c>
    </row>
    <row r="46">
      <c r="A46" s="31" t="s">
        <v>239</v>
      </c>
      <c r="B46" s="31" t="s">
        <v>240</v>
      </c>
      <c r="C46" s="31" t="s">
        <v>241</v>
      </c>
      <c r="D46" s="31" t="s">
        <v>242</v>
      </c>
    </row>
    <row r="47">
      <c r="A47" s="31" t="s">
        <v>243</v>
      </c>
      <c r="B47" s="31" t="s">
        <v>244</v>
      </c>
      <c r="C47" s="31" t="s">
        <v>245</v>
      </c>
      <c r="D47" s="31" t="s">
        <v>246</v>
      </c>
    </row>
    <row r="48">
      <c r="A48" s="31" t="s">
        <v>247</v>
      </c>
      <c r="B48" s="31" t="s">
        <v>248</v>
      </c>
      <c r="C48" s="31" t="s">
        <v>249</v>
      </c>
      <c r="D48" s="31" t="s">
        <v>250</v>
      </c>
    </row>
    <row r="50">
      <c r="A50" s="31" t="s">
        <v>251</v>
      </c>
    </row>
    <row r="51">
      <c r="A51" s="31" t="s">
        <v>162</v>
      </c>
      <c r="B51" s="31" t="s">
        <v>163</v>
      </c>
      <c r="C51" s="31" t="s">
        <v>164</v>
      </c>
      <c r="D51" s="31" t="s">
        <v>165</v>
      </c>
    </row>
    <row r="52">
      <c r="A52" s="31" t="s">
        <v>252</v>
      </c>
      <c r="B52" s="31" t="s">
        <v>253</v>
      </c>
      <c r="C52" s="31" t="s">
        <v>254</v>
      </c>
      <c r="D52" s="31" t="s">
        <v>255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13"/>
    <col customWidth="1" min="6" max="6" width="12.63"/>
    <col customWidth="1" min="7" max="7" width="30.0"/>
    <col customWidth="1" min="8" max="8" width="18.13"/>
  </cols>
  <sheetData>
    <row r="1">
      <c r="A1" s="31" t="s">
        <v>136</v>
      </c>
      <c r="B1" s="31" t="s">
        <v>137</v>
      </c>
      <c r="C1" s="31" t="s">
        <v>138</v>
      </c>
      <c r="D1" s="31" t="s">
        <v>139</v>
      </c>
      <c r="E1" s="31" t="s">
        <v>140</v>
      </c>
      <c r="F1" s="31" t="s">
        <v>141</v>
      </c>
      <c r="G1" s="31" t="s">
        <v>142</v>
      </c>
      <c r="H1" s="31" t="s">
        <v>256</v>
      </c>
    </row>
    <row r="2">
      <c r="A2" s="31" t="s">
        <v>257</v>
      </c>
      <c r="B2" s="31">
        <v>4400.0</v>
      </c>
      <c r="C2" s="31">
        <v>14.08</v>
      </c>
      <c r="D2" s="31">
        <v>1.11905</v>
      </c>
      <c r="E2" s="31">
        <v>1.02752E-4</v>
      </c>
      <c r="F2" s="31">
        <v>0.002367</v>
      </c>
      <c r="G2" s="31" t="s">
        <v>258</v>
      </c>
      <c r="H2" s="31" t="s">
        <v>259</v>
      </c>
    </row>
    <row r="3">
      <c r="A3" s="31" t="s">
        <v>145</v>
      </c>
      <c r="D3" s="31">
        <v>0.005</v>
      </c>
      <c r="E3" s="31">
        <v>0.0</v>
      </c>
      <c r="F3" s="31">
        <v>1.5E-9</v>
      </c>
      <c r="G3" s="31" t="s">
        <v>260</v>
      </c>
      <c r="H3" s="31" t="s">
        <v>261</v>
      </c>
    </row>
    <row r="4">
      <c r="A4" s="31" t="s">
        <v>147</v>
      </c>
      <c r="D4" s="31">
        <v>0.001</v>
      </c>
      <c r="E4" s="31">
        <v>7.5E-7</v>
      </c>
      <c r="F4" s="31">
        <v>9.3E-10</v>
      </c>
      <c r="G4" s="31" t="s">
        <v>262</v>
      </c>
      <c r="H4" s="31" t="s">
        <v>263</v>
      </c>
    </row>
    <row r="5">
      <c r="A5" s="31" t="s">
        <v>149</v>
      </c>
      <c r="D5" s="31">
        <v>0.022</v>
      </c>
      <c r="E5" s="31">
        <v>2.0E-5</v>
      </c>
      <c r="F5" s="31">
        <v>6.94E-7</v>
      </c>
    </row>
    <row r="6">
      <c r="A6" s="31" t="s">
        <v>150</v>
      </c>
      <c r="D6" s="31">
        <v>0.3</v>
      </c>
      <c r="E6" s="31">
        <v>2.0E-6</v>
      </c>
      <c r="F6" s="31">
        <v>0.00138889</v>
      </c>
    </row>
    <row r="7">
      <c r="A7" s="31" t="s">
        <v>264</v>
      </c>
      <c r="D7" s="31">
        <v>0.021</v>
      </c>
      <c r="E7" s="31">
        <v>3.6E-7</v>
      </c>
      <c r="F7" s="31">
        <v>2.27E-7</v>
      </c>
    </row>
    <row r="8">
      <c r="A8" s="31" t="s">
        <v>265</v>
      </c>
      <c r="D8" s="31">
        <v>3.0E-6</v>
      </c>
      <c r="E8" s="31">
        <v>3.0E-6</v>
      </c>
      <c r="F8" s="31">
        <v>3.0E-6</v>
      </c>
    </row>
    <row r="9">
      <c r="A9" s="31" t="s">
        <v>157</v>
      </c>
      <c r="D9" s="31">
        <v>7.0E-4</v>
      </c>
      <c r="E9" s="31">
        <v>6.0E-6</v>
      </c>
      <c r="F9" s="31">
        <v>6.0E-9</v>
      </c>
    </row>
    <row r="10">
      <c r="A10" s="31"/>
      <c r="C10" s="31" t="s">
        <v>266</v>
      </c>
    </row>
    <row r="11">
      <c r="A11" s="31"/>
    </row>
    <row r="12">
      <c r="A12" s="31" t="s">
        <v>267</v>
      </c>
    </row>
    <row r="13">
      <c r="B13" s="31" t="s">
        <v>268</v>
      </c>
    </row>
    <row r="14">
      <c r="B14" s="31" t="s">
        <v>269</v>
      </c>
    </row>
    <row r="15">
      <c r="B15" s="31" t="s">
        <v>270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40.0"/>
    <col customWidth="1" min="3" max="3" width="13.0"/>
  </cols>
  <sheetData>
    <row r="1" ht="30.0" customHeight="1">
      <c r="A1" s="44" t="s">
        <v>271</v>
      </c>
      <c r="B1" s="45" t="s">
        <v>272</v>
      </c>
      <c r="C1" s="46" t="s">
        <v>273</v>
      </c>
      <c r="D1" s="45"/>
      <c r="E1" s="45"/>
      <c r="F1" s="47"/>
      <c r="G1" s="47"/>
      <c r="H1" s="47"/>
      <c r="I1" s="47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ht="57.0" customHeight="1">
      <c r="A2" s="49" t="s">
        <v>274</v>
      </c>
      <c r="B2" s="50" t="s">
        <v>275</v>
      </c>
      <c r="C2" s="51">
        <v>1747.0</v>
      </c>
      <c r="D2" s="45" t="s">
        <v>276</v>
      </c>
      <c r="E2" s="45" t="str">
        <f>IMAGE("https://avatars.mds.yandex.net/get-mpic/12016886/2a0000019844bb98323da8009954c4958def/180x240")</f>
        <v/>
      </c>
      <c r="F2" s="52" t="s">
        <v>277</v>
      </c>
      <c r="G2" s="47"/>
      <c r="H2" s="47"/>
      <c r="I2" s="47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>
      <c r="A3" s="53" t="s">
        <v>278</v>
      </c>
      <c r="B3" s="50" t="s">
        <v>279</v>
      </c>
      <c r="C3" s="51">
        <v>452.0</v>
      </c>
      <c r="D3" s="45" t="s">
        <v>280</v>
      </c>
      <c r="E3" s="45" t="str">
        <f>IMAGE("https://avatars.mds.yandex.net/get-mpic/1886039/img_id6668256796976149364.jpeg/180x240")</f>
        <v/>
      </c>
      <c r="F3" s="52" t="s">
        <v>281</v>
      </c>
      <c r="G3" s="47"/>
      <c r="H3" s="47"/>
      <c r="I3" s="47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ht="47.25" customHeight="1">
      <c r="A4" s="54" t="s">
        <v>282</v>
      </c>
      <c r="B4" s="55" t="s">
        <v>283</v>
      </c>
      <c r="C4" s="51">
        <v>531.0</v>
      </c>
      <c r="D4" s="45" t="s">
        <v>284</v>
      </c>
      <c r="E4" s="45" t="str">
        <f>IMAGE("https://avatars.mds.yandex.net/get-mpic/4255269/img_id3938299075348389639.jpeg/180x240")</f>
        <v/>
      </c>
      <c r="F4" s="52" t="s">
        <v>285</v>
      </c>
      <c r="G4" s="47"/>
      <c r="H4" s="47"/>
      <c r="I4" s="47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ht="64.5" customHeight="1">
      <c r="A5" s="56"/>
      <c r="B5" s="56"/>
      <c r="C5" s="51">
        <v>336.0</v>
      </c>
      <c r="D5" s="45" t="s">
        <v>286</v>
      </c>
      <c r="E5" s="45" t="str">
        <f>IMAGE("https://avatars.mds.yandex.net/get-mpic/5236090/2a000001939a2d47f173cc0724ca106e8a86/180x240")</f>
        <v/>
      </c>
      <c r="F5" s="52" t="s">
        <v>287</v>
      </c>
      <c r="G5" s="47"/>
      <c r="H5" s="47"/>
      <c r="I5" s="47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>
      <c r="A6" s="47"/>
      <c r="B6" s="47"/>
      <c r="C6" s="47"/>
      <c r="D6" s="47"/>
      <c r="E6" s="47"/>
      <c r="F6" s="47"/>
      <c r="G6" s="47"/>
      <c r="H6" s="47"/>
      <c r="I6" s="47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>
      <c r="A7" s="47"/>
      <c r="B7" s="47"/>
      <c r="C7" s="47"/>
      <c r="D7" s="47"/>
      <c r="E7" s="47"/>
      <c r="F7" s="47"/>
      <c r="G7" s="47"/>
      <c r="H7" s="47"/>
      <c r="I7" s="47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>
      <c r="A8" s="47"/>
      <c r="B8" s="47"/>
      <c r="C8" s="47"/>
      <c r="D8" s="47"/>
      <c r="E8" s="47"/>
      <c r="F8" s="47"/>
      <c r="G8" s="47"/>
      <c r="H8" s="47"/>
      <c r="I8" s="47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>
      <c r="A9" s="47"/>
      <c r="B9" s="47"/>
      <c r="C9" s="47"/>
      <c r="D9" s="47"/>
      <c r="E9" s="47"/>
      <c r="F9" s="47"/>
      <c r="G9" s="47"/>
      <c r="H9" s="47"/>
      <c r="I9" s="47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>
      <c r="A10" s="57" t="s">
        <v>288</v>
      </c>
      <c r="B10" s="47" t="s">
        <v>289</v>
      </c>
      <c r="C10" s="47" t="s">
        <v>290</v>
      </c>
      <c r="D10" s="47" t="s">
        <v>291</v>
      </c>
      <c r="E10" s="47" t="s">
        <v>292</v>
      </c>
      <c r="F10" s="47"/>
      <c r="G10" s="47"/>
      <c r="H10" s="47"/>
      <c r="I10" s="47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>
      <c r="A11" s="47"/>
      <c r="B11" s="47"/>
      <c r="C11" s="58" t="s">
        <v>293</v>
      </c>
      <c r="D11" s="58" t="s">
        <v>294</v>
      </c>
      <c r="E11" s="58" t="s">
        <v>295</v>
      </c>
      <c r="F11" s="47"/>
      <c r="G11" s="47"/>
      <c r="H11" s="47"/>
      <c r="I11" s="47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>
      <c r="A12" s="47"/>
      <c r="B12" s="47"/>
      <c r="C12" s="47"/>
      <c r="D12" s="47"/>
      <c r="E12" s="47"/>
      <c r="F12" s="47"/>
      <c r="G12" s="47"/>
      <c r="H12" s="47"/>
      <c r="I12" s="47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>
      <c r="A13" s="47"/>
      <c r="B13" s="47"/>
      <c r="C13" s="47"/>
      <c r="D13" s="47"/>
      <c r="E13" s="47"/>
      <c r="F13" s="47"/>
      <c r="G13" s="47"/>
      <c r="H13" s="47"/>
      <c r="I13" s="47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>
      <c r="A14" s="47"/>
      <c r="B14" s="47"/>
      <c r="C14" s="47"/>
      <c r="D14" s="47"/>
      <c r="E14" s="47"/>
      <c r="F14" s="47"/>
      <c r="G14" s="47"/>
      <c r="H14" s="47"/>
      <c r="I14" s="47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>
      <c r="A15" s="47"/>
      <c r="B15" s="59" t="s">
        <v>296</v>
      </c>
      <c r="C15" s="59" t="s">
        <v>297</v>
      </c>
      <c r="D15" s="47"/>
      <c r="E15" s="47"/>
      <c r="F15" s="47"/>
      <c r="G15" s="47"/>
      <c r="H15" s="47"/>
      <c r="I15" s="47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>
      <c r="A16" s="47"/>
      <c r="B16" s="47" t="s">
        <v>298</v>
      </c>
      <c r="C16" s="47" t="s">
        <v>299</v>
      </c>
      <c r="D16" s="47"/>
      <c r="E16" s="47"/>
      <c r="F16" s="47"/>
      <c r="G16" s="47"/>
      <c r="H16" s="47"/>
      <c r="I16" s="47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>
      <c r="A17" s="47"/>
      <c r="B17" s="47" t="s">
        <v>300</v>
      </c>
      <c r="C17" s="47" t="s">
        <v>301</v>
      </c>
      <c r="D17" s="47"/>
      <c r="E17" s="47"/>
      <c r="F17" s="47"/>
      <c r="G17" s="47"/>
      <c r="H17" s="47"/>
      <c r="I17" s="47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>
      <c r="A18" s="47"/>
      <c r="B18" s="47"/>
      <c r="C18" s="47"/>
      <c r="D18" s="47"/>
      <c r="E18" s="47"/>
      <c r="F18" s="47"/>
      <c r="G18" s="47"/>
      <c r="H18" s="47"/>
      <c r="I18" s="47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>
      <c r="A19" s="47" t="s">
        <v>302</v>
      </c>
      <c r="B19" s="47" t="s">
        <v>303</v>
      </c>
      <c r="C19" s="47" t="s">
        <v>304</v>
      </c>
      <c r="D19" s="47"/>
      <c r="E19" s="47"/>
      <c r="F19" s="47"/>
      <c r="G19" s="47"/>
      <c r="H19" s="47"/>
      <c r="I19" s="47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>
      <c r="A20" s="47"/>
      <c r="B20" s="60" t="s">
        <v>305</v>
      </c>
      <c r="C20" s="47"/>
      <c r="D20" s="47"/>
      <c r="E20" s="47"/>
      <c r="F20" s="47"/>
      <c r="G20" s="47"/>
      <c r="H20" s="47"/>
      <c r="I20" s="47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>
      <c r="A21" s="47"/>
      <c r="B21" s="60" t="s">
        <v>306</v>
      </c>
      <c r="C21" s="47"/>
      <c r="D21" s="47"/>
      <c r="E21" s="47"/>
      <c r="F21" s="47"/>
      <c r="G21" s="47"/>
      <c r="H21" s="47"/>
      <c r="I21" s="47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>
      <c r="A22" s="47"/>
      <c r="B22" s="60" t="s">
        <v>307</v>
      </c>
      <c r="C22" s="47"/>
      <c r="D22" s="47"/>
      <c r="E22" s="47"/>
      <c r="F22" s="47"/>
      <c r="G22" s="47"/>
      <c r="H22" s="47"/>
      <c r="I22" s="47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>
      <c r="A23" s="47" t="s">
        <v>308</v>
      </c>
      <c r="B23" s="47" t="s">
        <v>309</v>
      </c>
      <c r="C23" s="61" t="s">
        <v>310</v>
      </c>
      <c r="D23" s="47"/>
      <c r="E23" s="62" t="s">
        <v>311</v>
      </c>
      <c r="F23" s="47"/>
      <c r="G23" s="47"/>
      <c r="H23" s="47"/>
      <c r="I23" s="47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>
      <c r="A24" s="62" t="s">
        <v>312</v>
      </c>
      <c r="B24" s="63" t="s">
        <v>313</v>
      </c>
      <c r="C24" s="63" t="s">
        <v>314</v>
      </c>
      <c r="D24" s="47"/>
      <c r="E24" s="47"/>
      <c r="F24" s="47"/>
      <c r="G24" s="47"/>
      <c r="H24" s="47"/>
      <c r="I24" s="47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>
      <c r="A25" s="64" t="s">
        <v>315</v>
      </c>
      <c r="B25" s="65" t="s">
        <v>316</v>
      </c>
      <c r="C25" s="66"/>
      <c r="D25" s="47"/>
      <c r="E25" s="47"/>
      <c r="F25" s="47"/>
      <c r="G25" s="47"/>
      <c r="H25" s="47"/>
      <c r="I25" s="47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>
      <c r="A26" s="47"/>
      <c r="B26" s="48"/>
      <c r="C26" s="47"/>
      <c r="D26" s="47"/>
      <c r="E26" s="47"/>
      <c r="F26" s="47"/>
      <c r="G26" s="47"/>
      <c r="H26" s="47"/>
      <c r="I26" s="47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>
      <c r="A27" s="67" t="s">
        <v>317</v>
      </c>
      <c r="B27" s="68" t="s">
        <v>318</v>
      </c>
      <c r="C27" s="69"/>
      <c r="D27" s="47"/>
      <c r="E27" s="47"/>
      <c r="F27" s="47"/>
      <c r="G27" s="47"/>
      <c r="H27" s="47"/>
      <c r="I27" s="47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>
      <c r="A28" s="70"/>
      <c r="B28" s="71" t="s">
        <v>319</v>
      </c>
      <c r="C28" s="72"/>
      <c r="D28" s="47"/>
      <c r="E28" s="47"/>
      <c r="F28" s="47"/>
      <c r="G28" s="47"/>
      <c r="H28" s="47"/>
      <c r="I28" s="47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>
      <c r="A29" s="47"/>
      <c r="B29" s="47"/>
      <c r="C29" s="47"/>
      <c r="D29" s="47"/>
      <c r="E29" s="47"/>
      <c r="F29" s="47"/>
      <c r="G29" s="47"/>
      <c r="H29" s="47"/>
      <c r="I29" s="47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>
      <c r="A30" s="47"/>
      <c r="B30" s="47"/>
      <c r="C30" s="47"/>
      <c r="D30" s="47"/>
      <c r="E30" s="47"/>
      <c r="F30" s="47"/>
      <c r="G30" s="47"/>
      <c r="H30" s="47"/>
      <c r="I30" s="47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  <row r="998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</row>
    <row r="999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</row>
    <row r="1000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</row>
  </sheetData>
  <mergeCells count="2">
    <mergeCell ref="A4:A5"/>
    <mergeCell ref="B4:B5"/>
  </mergeCells>
  <hyperlinks>
    <hyperlink r:id="rId1" ref="F2"/>
    <hyperlink r:id="rId2" ref="F3"/>
    <hyperlink r:id="rId3" ref="F4"/>
    <hyperlink r:id="rId4" ref="F5"/>
  </hyperlinks>
  <drawing r:id="rId5"/>
</worksheet>
</file>